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ewBurgess\Desktop\"/>
    </mc:Choice>
  </mc:AlternateContent>
  <xr:revisionPtr revIDLastSave="0" documentId="8_{DF8B615D-52F0-4E3C-8834-D8089DD8410C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10" yWindow="-110" windowWidth="22780" windowHeight="1466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14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12" i="11"/>
  <c r="J11" i="11"/>
  <c r="J51" i="11"/>
  <c r="J50" i="11"/>
  <c r="J49" i="11"/>
  <c r="J48" i="11"/>
  <c r="J47" i="11"/>
  <c r="J28" i="11"/>
  <c r="J10" i="11"/>
  <c r="J46" i="11"/>
  <c r="J30" i="11"/>
  <c r="J45" i="11"/>
  <c r="J44" i="11"/>
  <c r="J43" i="11"/>
  <c r="J42" i="11"/>
  <c r="J27" i="11"/>
  <c r="J26" i="11"/>
  <c r="J29" i="11"/>
  <c r="J41" i="11"/>
  <c r="J40" i="11"/>
  <c r="J39" i="11"/>
  <c r="N18" i="1"/>
  <c r="H58" i="11"/>
  <c r="N19" i="1"/>
  <c r="H64" i="11"/>
  <c r="J6" i="11"/>
  <c r="J4" i="11"/>
  <c r="J31" i="11"/>
  <c r="J38" i="11"/>
  <c r="J2" i="11"/>
  <c r="J37" i="11"/>
  <c r="J36" i="11"/>
  <c r="J8" i="11"/>
  <c r="J9" i="11"/>
  <c r="J16" i="11"/>
  <c r="J7" i="11"/>
  <c r="J15" i="11"/>
  <c r="J35" i="11"/>
  <c r="J34" i="11"/>
  <c r="J17" i="11"/>
  <c r="J19" i="11"/>
  <c r="J21" i="11"/>
  <c r="J22" i="11"/>
  <c r="J23" i="11"/>
  <c r="J20" i="11"/>
  <c r="J18" i="11"/>
  <c r="J3" i="11"/>
  <c r="J14" i="11"/>
  <c r="J13" i="11"/>
  <c r="J24" i="11"/>
  <c r="J5" i="11"/>
  <c r="J32" i="11"/>
  <c r="J25" i="11"/>
  <c r="H8" i="11"/>
  <c r="H17" i="11"/>
  <c r="I8" i="11"/>
  <c r="I9" i="11"/>
  <c r="I17" i="11"/>
  <c r="I19" i="11"/>
  <c r="I3" i="11"/>
  <c r="I14" i="11"/>
  <c r="G142" i="11"/>
  <c r="F142" i="11"/>
  <c r="G141" i="11"/>
  <c r="F141" i="11"/>
  <c r="G12" i="11"/>
  <c r="F12" i="11"/>
  <c r="G11" i="11"/>
  <c r="F11" i="11"/>
  <c r="G28" i="11"/>
  <c r="F28" i="11"/>
  <c r="G10" i="11"/>
  <c r="F10" i="11"/>
  <c r="G42" i="11"/>
  <c r="F42" i="11"/>
  <c r="G27" i="11"/>
  <c r="F27" i="11"/>
  <c r="G6" i="11"/>
  <c r="F6" i="11"/>
  <c r="G4" i="11"/>
  <c r="F4" i="11"/>
  <c r="G8" i="11"/>
  <c r="F8" i="11"/>
  <c r="G9" i="11"/>
  <c r="F9" i="11"/>
  <c r="G17" i="11"/>
  <c r="F17" i="11"/>
  <c r="G19" i="11"/>
  <c r="F19" i="11"/>
  <c r="G3" i="11"/>
  <c r="F3" i="11"/>
  <c r="E3" i="11"/>
  <c r="G14" i="11"/>
  <c r="F14" i="11"/>
  <c r="C142" i="11"/>
  <c r="A142" i="11"/>
  <c r="C141" i="11"/>
  <c r="A141" i="11"/>
  <c r="C12" i="11"/>
  <c r="A12" i="11"/>
  <c r="C11" i="11"/>
  <c r="A11" i="11"/>
  <c r="C28" i="11"/>
  <c r="A28" i="11"/>
  <c r="C10" i="11"/>
  <c r="A10" i="11"/>
  <c r="C42" i="11"/>
  <c r="A42" i="11"/>
  <c r="C27" i="11"/>
  <c r="A27" i="11"/>
  <c r="C6" i="11"/>
  <c r="A6" i="11"/>
  <c r="C4" i="11"/>
  <c r="A4" i="11"/>
  <c r="C8" i="11"/>
  <c r="A8" i="11"/>
  <c r="C9" i="11"/>
  <c r="A9" i="11"/>
  <c r="C17" i="11"/>
  <c r="A17" i="11"/>
  <c r="C19" i="11"/>
  <c r="A19" i="11"/>
  <c r="C3" i="11"/>
  <c r="A3" i="11"/>
  <c r="C14" i="11"/>
  <c r="A14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6" i="11"/>
  <c r="I27" i="11"/>
  <c r="I4" i="11"/>
  <c r="I10" i="11"/>
  <c r="I42" i="11"/>
  <c r="I28" i="11"/>
  <c r="I11" i="11"/>
  <c r="G7" i="1"/>
  <c r="I12" i="11"/>
  <c r="I141" i="11"/>
  <c r="A25" i="11"/>
  <c r="I146" i="11"/>
  <c r="I145" i="11"/>
  <c r="I144" i="11"/>
  <c r="I143" i="11"/>
  <c r="I33" i="11"/>
  <c r="H146" i="11"/>
  <c r="H145" i="11"/>
  <c r="H144" i="11"/>
  <c r="H143" i="11"/>
  <c r="H33" i="11"/>
  <c r="G146" i="11"/>
  <c r="G145" i="11"/>
  <c r="G144" i="11"/>
  <c r="G143" i="11"/>
  <c r="G33" i="11"/>
  <c r="E146" i="11"/>
  <c r="E145" i="11"/>
  <c r="E144" i="11"/>
  <c r="E143" i="11"/>
  <c r="E33" i="11"/>
  <c r="C146" i="11"/>
  <c r="A146" i="11"/>
  <c r="C145" i="11"/>
  <c r="A145" i="11"/>
  <c r="C144" i="11"/>
  <c r="A144" i="11"/>
  <c r="C143" i="11"/>
  <c r="A143" i="11"/>
  <c r="C33" i="11"/>
  <c r="A33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2" i="11"/>
  <c r="I35" i="11"/>
  <c r="I21" i="11"/>
  <c r="I22" i="11"/>
  <c r="I7" i="11"/>
  <c r="I15" i="11"/>
  <c r="I23" i="11"/>
  <c r="I20" i="11"/>
  <c r="I18" i="11"/>
  <c r="I13" i="11"/>
  <c r="I24" i="11"/>
  <c r="I5" i="11"/>
  <c r="I32" i="11"/>
  <c r="I25" i="11"/>
  <c r="G140" i="11"/>
  <c r="F140" i="11"/>
  <c r="G139" i="11"/>
  <c r="F139" i="11"/>
  <c r="G138" i="11"/>
  <c r="F138" i="11"/>
  <c r="G137" i="11"/>
  <c r="F137" i="11"/>
  <c r="G136" i="11"/>
  <c r="F136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30" i="11"/>
  <c r="F30" i="11"/>
  <c r="G45" i="11"/>
  <c r="F45" i="11"/>
  <c r="G44" i="11"/>
  <c r="F44" i="11"/>
  <c r="G43" i="11"/>
  <c r="F43" i="11"/>
  <c r="G26" i="11"/>
  <c r="F26" i="11"/>
  <c r="G29" i="11"/>
  <c r="F29" i="11"/>
  <c r="G41" i="11"/>
  <c r="F41" i="11"/>
  <c r="G40" i="11"/>
  <c r="F40" i="11"/>
  <c r="G39" i="11"/>
  <c r="F39" i="11"/>
  <c r="G31" i="11"/>
  <c r="F31" i="11"/>
  <c r="G38" i="11"/>
  <c r="F38" i="11"/>
  <c r="G2" i="11"/>
  <c r="F2" i="11"/>
  <c r="G37" i="11"/>
  <c r="F37" i="11"/>
  <c r="G36" i="11"/>
  <c r="F36" i="11"/>
  <c r="G16" i="11"/>
  <c r="F16" i="11"/>
  <c r="G7" i="11"/>
  <c r="F7" i="11"/>
  <c r="G15" i="11"/>
  <c r="F15" i="11"/>
  <c r="G35" i="11"/>
  <c r="F35" i="11"/>
  <c r="G34" i="11"/>
  <c r="F34" i="11"/>
  <c r="G21" i="11"/>
  <c r="F21" i="11"/>
  <c r="G22" i="11"/>
  <c r="F22" i="11"/>
  <c r="G23" i="11"/>
  <c r="F23" i="11"/>
  <c r="G20" i="11"/>
  <c r="F20" i="11"/>
  <c r="G18" i="11"/>
  <c r="F18" i="11"/>
  <c r="G13" i="11"/>
  <c r="F13" i="11"/>
  <c r="G24" i="11"/>
  <c r="F24" i="11"/>
  <c r="G5" i="11"/>
  <c r="F5" i="11"/>
  <c r="G32" i="11"/>
  <c r="F32" i="11"/>
  <c r="G25" i="11"/>
  <c r="F25" i="11"/>
  <c r="E13" i="11"/>
  <c r="E24" i="11"/>
  <c r="E5" i="11"/>
  <c r="E32" i="11"/>
  <c r="E25" i="11"/>
  <c r="C140" i="11"/>
  <c r="C139" i="11"/>
  <c r="C138" i="11"/>
  <c r="C137" i="11"/>
  <c r="C136" i="11"/>
  <c r="C51" i="11"/>
  <c r="C50" i="11"/>
  <c r="C49" i="11"/>
  <c r="C48" i="11"/>
  <c r="C47" i="11"/>
  <c r="C46" i="11"/>
  <c r="C30" i="11"/>
  <c r="C45" i="11"/>
  <c r="C44" i="11"/>
  <c r="C43" i="11"/>
  <c r="C26" i="11"/>
  <c r="C29" i="11"/>
  <c r="C41" i="11"/>
  <c r="C40" i="11"/>
  <c r="C39" i="11"/>
  <c r="C31" i="11"/>
  <c r="C38" i="11"/>
  <c r="C2" i="11"/>
  <c r="C37" i="11"/>
  <c r="C36" i="11"/>
  <c r="C16" i="11"/>
  <c r="C7" i="11"/>
  <c r="C15" i="11"/>
  <c r="C35" i="11"/>
  <c r="C34" i="11"/>
  <c r="C21" i="11"/>
  <c r="C22" i="11"/>
  <c r="C23" i="11"/>
  <c r="C20" i="11"/>
  <c r="C18" i="11"/>
  <c r="C13" i="11"/>
  <c r="C24" i="11"/>
  <c r="C5" i="11"/>
  <c r="C32" i="11"/>
  <c r="C25" i="11"/>
  <c r="A140" i="11"/>
  <c r="A139" i="11"/>
  <c r="A138" i="11"/>
  <c r="A137" i="11"/>
  <c r="A136" i="11"/>
  <c r="A51" i="11"/>
  <c r="A50" i="11"/>
  <c r="A49" i="11"/>
  <c r="A48" i="11"/>
  <c r="A47" i="11"/>
  <c r="A46" i="11"/>
  <c r="A30" i="11"/>
  <c r="A45" i="11"/>
  <c r="A44" i="11"/>
  <c r="A43" i="11"/>
  <c r="A26" i="11"/>
  <c r="A29" i="11"/>
  <c r="A41" i="11"/>
  <c r="A40" i="11"/>
  <c r="A39" i="11"/>
  <c r="A31" i="11"/>
  <c r="A38" i="11"/>
  <c r="A2" i="11"/>
  <c r="A37" i="11"/>
  <c r="A36" i="11"/>
  <c r="A16" i="11"/>
  <c r="A7" i="11"/>
  <c r="A15" i="11"/>
  <c r="A35" i="11"/>
  <c r="A34" i="11"/>
  <c r="A21" i="11"/>
  <c r="A22" i="11"/>
  <c r="A23" i="11"/>
  <c r="A20" i="11"/>
  <c r="A18" i="11"/>
  <c r="A13" i="11"/>
  <c r="A24" i="11"/>
  <c r="A5" i="11"/>
  <c r="A32" i="11"/>
  <c r="I142" i="11"/>
  <c r="I38" i="11"/>
  <c r="I40" i="11"/>
  <c r="I45" i="11"/>
  <c r="I36" i="11"/>
  <c r="I31" i="11"/>
  <c r="I34" i="11"/>
  <c r="I37" i="11"/>
  <c r="I41" i="11"/>
  <c r="I16" i="11"/>
  <c r="H14" i="11"/>
  <c r="I26" i="11"/>
  <c r="I44" i="11"/>
  <c r="I29" i="11"/>
  <c r="I39" i="11"/>
  <c r="I49" i="11"/>
  <c r="I43" i="11"/>
  <c r="I138" i="11"/>
  <c r="I30" i="11"/>
  <c r="I48" i="11"/>
  <c r="I46" i="11"/>
  <c r="I50" i="11"/>
  <c r="I51" i="11"/>
  <c r="I137" i="11"/>
  <c r="I47" i="11"/>
  <c r="H142" i="11"/>
  <c r="H51" i="11"/>
  <c r="H28" i="11"/>
  <c r="H40" i="11"/>
  <c r="H4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18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N155" i="11"/>
  <c r="M155" i="11"/>
  <c r="N139" i="11"/>
  <c r="M139" i="11"/>
  <c r="N48" i="11"/>
  <c r="M48" i="11"/>
  <c r="N40" i="11"/>
  <c r="M40" i="11"/>
  <c r="E21" i="11"/>
  <c r="K149" i="11"/>
  <c r="N149" i="11"/>
  <c r="M149" i="11"/>
  <c r="K153" i="11"/>
  <c r="L153" i="11" s="1"/>
  <c r="N144" i="11"/>
  <c r="M144" i="11"/>
  <c r="N140" i="11"/>
  <c r="M140" i="11"/>
  <c r="N43" i="11"/>
  <c r="M43" i="11"/>
  <c r="E17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N57" i="11"/>
  <c r="M57" i="11"/>
  <c r="N154" i="11"/>
  <c r="M154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47" i="11"/>
  <c r="K45" i="11"/>
  <c r="K43" i="11"/>
  <c r="K42" i="11"/>
  <c r="E9" i="11"/>
  <c r="E15" i="11"/>
  <c r="E16" i="11"/>
  <c r="E8" i="11"/>
  <c r="E35" i="11"/>
  <c r="E34" i="11"/>
  <c r="E7" i="11"/>
  <c r="E23" i="11"/>
  <c r="E20" i="11"/>
  <c r="E19" i="11"/>
  <c r="E22" i="11"/>
  <c r="B117" i="11"/>
  <c r="H57" i="11"/>
  <c r="H97" i="11"/>
  <c r="H21" i="11"/>
  <c r="H54" i="11"/>
  <c r="H52" i="11"/>
  <c r="H118" i="11"/>
  <c r="H55" i="11"/>
  <c r="H121" i="11"/>
  <c r="H138" i="11"/>
  <c r="H53" i="11"/>
  <c r="H56" i="11"/>
  <c r="H18" i="11"/>
  <c r="H62" i="11"/>
  <c r="H98" i="11"/>
  <c r="H23" i="11"/>
  <c r="H139" i="11"/>
  <c r="H38" i="11"/>
  <c r="H31" i="11"/>
  <c r="N33" i="1"/>
  <c r="O4" i="1" s="1"/>
  <c r="H19" i="11"/>
  <c r="H22" i="11"/>
  <c r="H20" i="11"/>
  <c r="H117" i="11"/>
  <c r="H42" i="11"/>
  <c r="H116" i="11"/>
  <c r="H115" i="11"/>
  <c r="H94" i="11"/>
  <c r="H119" i="11"/>
  <c r="H96" i="11"/>
  <c r="H133" i="11"/>
  <c r="H112" i="11"/>
  <c r="H26" i="11"/>
  <c r="H111" i="11"/>
  <c r="H137" i="11"/>
  <c r="H36" i="11"/>
  <c r="H136" i="11"/>
  <c r="H39" i="11"/>
  <c r="H73" i="11"/>
  <c r="H77" i="11"/>
  <c r="H37" i="11"/>
  <c r="H2" i="11"/>
  <c r="H140" i="11"/>
  <c r="H141" i="11"/>
  <c r="H78" i="11"/>
  <c r="H41" i="11"/>
  <c r="H27" i="11"/>
  <c r="H82" i="11"/>
  <c r="H29" i="11"/>
  <c r="H6" i="11"/>
  <c r="H76" i="11"/>
  <c r="H67" i="11"/>
  <c r="H70" i="11"/>
  <c r="H95" i="11"/>
  <c r="H75" i="11"/>
  <c r="H74" i="11"/>
  <c r="H99" i="11"/>
  <c r="H81" i="11"/>
  <c r="H60" i="11"/>
  <c r="H63" i="11"/>
  <c r="H106" i="11"/>
  <c r="H15" i="11"/>
  <c r="H88" i="11"/>
  <c r="H61" i="11"/>
  <c r="H65" i="11"/>
  <c r="H59" i="11"/>
  <c r="H124" i="11"/>
  <c r="H125" i="11"/>
  <c r="H46" i="11"/>
  <c r="H68" i="11"/>
  <c r="H80" i="11"/>
  <c r="H105" i="11"/>
  <c r="H104" i="11"/>
  <c r="H122" i="11"/>
  <c r="H93" i="11"/>
  <c r="H35" i="11"/>
  <c r="H9" i="11"/>
  <c r="H66" i="11"/>
  <c r="H85" i="11"/>
  <c r="H103" i="11"/>
  <c r="H102" i="11"/>
  <c r="H127" i="11"/>
  <c r="H87" i="11"/>
  <c r="H91" i="11"/>
  <c r="H71" i="11"/>
  <c r="H34" i="11"/>
  <c r="H16" i="11"/>
  <c r="H7" i="11"/>
  <c r="H48" i="11"/>
  <c r="H90" i="11"/>
  <c r="H84" i="11"/>
  <c r="H83" i="11"/>
  <c r="H101" i="11"/>
  <c r="H126" i="11"/>
  <c r="H123" i="11"/>
  <c r="H89" i="11"/>
  <c r="H69" i="11"/>
  <c r="H50" i="11"/>
  <c r="H11" i="11"/>
  <c r="H49" i="11"/>
  <c r="H12" i="11"/>
  <c r="H47" i="11"/>
  <c r="H44" i="11"/>
  <c r="H24" i="11"/>
  <c r="H110" i="11"/>
  <c r="H109" i="11"/>
  <c r="H132" i="11"/>
  <c r="H131" i="11"/>
  <c r="H5" i="11"/>
  <c r="H30" i="11"/>
  <c r="H10" i="11"/>
  <c r="H25" i="11"/>
  <c r="H32" i="11"/>
  <c r="H3" i="11"/>
  <c r="H108" i="11"/>
  <c r="H130" i="11"/>
  <c r="H129" i="11"/>
  <c r="H43" i="11"/>
  <c r="H45" i="11"/>
  <c r="H13" i="11"/>
  <c r="H113" i="11"/>
  <c r="H135" i="11"/>
  <c r="J148" i="11"/>
  <c r="J143" i="11"/>
  <c r="J146" i="11"/>
  <c r="J145" i="11"/>
  <c r="J144" i="11"/>
  <c r="J33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50" i="11"/>
  <c r="L99" i="11"/>
  <c r="L84" i="11"/>
  <c r="L69" i="11"/>
  <c r="L120" i="11"/>
  <c r="L105" i="11"/>
  <c r="L90" i="11"/>
  <c r="L75" i="11"/>
  <c r="L60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129" i="11"/>
  <c r="L114" i="11"/>
  <c r="L135" i="11"/>
  <c r="L128" i="11"/>
  <c r="E38" i="11"/>
  <c r="E2" i="11"/>
  <c r="E36" i="11"/>
  <c r="E4" i="11"/>
  <c r="E37" i="11"/>
  <c r="E6" i="11"/>
  <c r="E31" i="11"/>
  <c r="B95" i="11"/>
  <c r="B4" i="11"/>
  <c r="B119" i="11"/>
  <c r="B44" i="11"/>
  <c r="B133" i="11"/>
  <c r="B15" i="11"/>
  <c r="B112" i="11"/>
  <c r="B82" i="11"/>
  <c r="B27" i="11"/>
  <c r="B30" i="11"/>
  <c r="B135" i="11"/>
  <c r="B42" i="11"/>
  <c r="B62" i="11"/>
  <c r="B128" i="11"/>
  <c r="B77" i="11"/>
  <c r="B73" i="11"/>
  <c r="B111" i="11"/>
  <c r="B14" i="11"/>
  <c r="B120" i="11"/>
  <c r="B108" i="11"/>
  <c r="B129" i="11"/>
  <c r="B89" i="11"/>
  <c r="B57" i="11"/>
  <c r="B155" i="11"/>
  <c r="B136" i="11"/>
  <c r="B131" i="11"/>
  <c r="B147" i="11"/>
  <c r="B50" i="11"/>
  <c r="B123" i="11"/>
  <c r="B71" i="11"/>
  <c r="B104" i="11"/>
  <c r="B116" i="11"/>
  <c r="B11" i="11"/>
  <c r="B144" i="11"/>
  <c r="B18" i="11"/>
  <c r="B75" i="11"/>
  <c r="B80" i="11"/>
  <c r="B140" i="11"/>
  <c r="B96" i="11"/>
  <c r="B86" i="11"/>
  <c r="B68" i="11"/>
  <c r="B58" i="11"/>
  <c r="B9" i="11"/>
  <c r="B150" i="11"/>
  <c r="B138" i="11"/>
  <c r="B34" i="11"/>
  <c r="G10" i="1"/>
  <c r="B90" i="11"/>
  <c r="B102" i="11"/>
  <c r="B64" i="11"/>
  <c r="B153" i="11"/>
  <c r="B105" i="11"/>
  <c r="B29" i="11"/>
  <c r="B36" i="11"/>
  <c r="B125" i="11"/>
  <c r="B99" i="11"/>
  <c r="B84" i="11"/>
  <c r="B54" i="11"/>
  <c r="B13" i="11"/>
  <c r="B118" i="11"/>
  <c r="B55" i="11"/>
  <c r="B32" i="11"/>
  <c r="B79" i="11"/>
  <c r="B67" i="11"/>
  <c r="B106" i="11"/>
  <c r="B92" i="11"/>
  <c r="B141" i="11"/>
  <c r="B139" i="11"/>
  <c r="B88" i="11"/>
  <c r="B38" i="11"/>
  <c r="B107" i="11"/>
  <c r="B100" i="11"/>
  <c r="B53" i="11"/>
  <c r="B19" i="11"/>
  <c r="B143" i="11"/>
  <c r="B40" i="11"/>
  <c r="B51" i="11"/>
  <c r="B124" i="11"/>
  <c r="B121" i="11"/>
  <c r="B83" i="11"/>
  <c r="B98" i="11"/>
  <c r="B154" i="11"/>
  <c r="B43" i="11"/>
  <c r="B28" i="11"/>
  <c r="B65" i="11"/>
  <c r="B114" i="11"/>
  <c r="B2" i="11"/>
  <c r="B46" i="11"/>
  <c r="B37" i="11"/>
  <c r="B78" i="11"/>
  <c r="B134" i="11"/>
  <c r="B113" i="11"/>
  <c r="B63" i="11"/>
  <c r="B146" i="11"/>
  <c r="B21" i="11"/>
  <c r="B93" i="11"/>
  <c r="B137" i="11"/>
  <c r="B103" i="11"/>
  <c r="B20" i="11"/>
  <c r="B94" i="11"/>
  <c r="B72" i="11"/>
  <c r="B60" i="11"/>
  <c r="B10" i="11"/>
  <c r="B152" i="11"/>
  <c r="B39" i="11"/>
  <c r="B35" i="11"/>
  <c r="B5" i="11"/>
  <c r="B110" i="11"/>
  <c r="B130" i="11"/>
  <c r="B91" i="11"/>
  <c r="B12" i="11"/>
  <c r="B49" i="11"/>
  <c r="B16" i="11"/>
  <c r="B132" i="11"/>
  <c r="B76" i="11"/>
  <c r="B61" i="11"/>
  <c r="B74" i="11"/>
  <c r="B97" i="11"/>
  <c r="B101" i="11"/>
  <c r="B70" i="11"/>
  <c r="B59" i="11"/>
  <c r="B8" i="11"/>
  <c r="B149" i="11"/>
  <c r="B25" i="11"/>
  <c r="B31" i="11"/>
  <c r="B126" i="11"/>
  <c r="B81" i="11"/>
  <c r="B145" i="11"/>
  <c r="B122" i="11"/>
  <c r="B6" i="11"/>
  <c r="B142" i="11"/>
  <c r="B56" i="11"/>
  <c r="B87" i="11"/>
  <c r="B52" i="11"/>
  <c r="B3" i="11"/>
  <c r="B151" i="11"/>
  <c r="B7" i="11"/>
  <c r="B47" i="11"/>
  <c r="B115" i="11"/>
  <c r="B45" i="11"/>
  <c r="B69" i="11"/>
  <c r="B48" i="11"/>
  <c r="B22" i="11"/>
  <c r="B17" i="11"/>
  <c r="B66" i="11"/>
  <c r="B109" i="11"/>
  <c r="B41" i="11"/>
  <c r="B26" i="11"/>
  <c r="B85" i="11"/>
  <c r="B23" i="11"/>
  <c r="B127" i="11"/>
  <c r="B24" i="11"/>
  <c r="B148" i="11"/>
  <c r="B33" i="11"/>
  <c r="D73" i="11" l="1"/>
  <c r="G9" i="1"/>
  <c r="D108" i="11"/>
  <c r="D47" i="11"/>
  <c r="D87" i="11"/>
  <c r="E27" i="11"/>
  <c r="E41" i="11"/>
  <c r="E39" i="11"/>
  <c r="B16" i="1"/>
  <c r="E42" i="11"/>
  <c r="E40" i="11"/>
  <c r="E26" i="11"/>
  <c r="E29" i="11"/>
  <c r="D18" i="11"/>
  <c r="K18" i="11" s="1"/>
  <c r="D122" i="11"/>
  <c r="D101" i="11"/>
  <c r="D36" i="11"/>
  <c r="K36" i="11" s="1"/>
  <c r="D33" i="11"/>
  <c r="K33" i="11" s="1"/>
  <c r="H10" i="1"/>
  <c r="D66" i="11"/>
  <c r="D59" i="11"/>
  <c r="D129" i="11"/>
  <c r="D25" i="11"/>
  <c r="D52" i="11"/>
  <c r="D149" i="11"/>
  <c r="D39" i="11"/>
  <c r="K39" i="11" s="1"/>
  <c r="D94" i="11"/>
  <c r="D34" i="11"/>
  <c r="K34" i="11" s="1"/>
  <c r="D80" i="11"/>
  <c r="D115" i="11"/>
  <c r="D43" i="11"/>
  <c r="D136" i="11"/>
  <c r="M29" i="11" l="1"/>
  <c r="N29" i="11" s="1"/>
  <c r="I10" i="1"/>
  <c r="I9" i="1" s="1"/>
  <c r="H9" i="1"/>
  <c r="L36" i="11"/>
  <c r="M142" i="11"/>
  <c r="N142" i="11" s="1"/>
  <c r="K25" i="11"/>
  <c r="M45" i="11" s="1"/>
  <c r="N45" i="11" s="1"/>
  <c r="D20" i="11"/>
  <c r="K20" i="11" s="1"/>
  <c r="D53" i="11"/>
  <c r="B17" i="1"/>
  <c r="E44" i="11"/>
  <c r="E46" i="11"/>
  <c r="E43" i="11"/>
  <c r="E10" i="11"/>
  <c r="E30" i="11"/>
  <c r="E28" i="11"/>
  <c r="E45" i="11"/>
  <c r="D32" i="11"/>
  <c r="D37" i="11"/>
  <c r="K37" i="11" s="1"/>
  <c r="D150" i="11"/>
  <c r="D74" i="11"/>
  <c r="D116" i="11"/>
  <c r="D102" i="11"/>
  <c r="D109" i="11"/>
  <c r="D40" i="11"/>
  <c r="K40" i="11" s="1"/>
  <c r="L40" i="11" s="1"/>
  <c r="D48" i="11"/>
  <c r="K48" i="11" s="1"/>
  <c r="L48" i="11" s="1"/>
  <c r="D95" i="11"/>
  <c r="D60" i="11"/>
  <c r="D143" i="11"/>
  <c r="D81" i="11"/>
  <c r="D35" i="11"/>
  <c r="D88" i="11"/>
  <c r="D130" i="11"/>
  <c r="D137" i="11"/>
  <c r="D123" i="11"/>
  <c r="D44" i="11"/>
  <c r="K44" i="11" s="1"/>
  <c r="L44" i="11" s="1"/>
  <c r="D67" i="11"/>
  <c r="D131" i="11" l="1"/>
  <c r="D89" i="11"/>
  <c r="D54" i="11"/>
  <c r="D117" i="11"/>
  <c r="D144" i="11"/>
  <c r="D49" i="11"/>
  <c r="K49" i="11" s="1"/>
  <c r="M54" i="11" s="1"/>
  <c r="N54" i="11" s="1"/>
  <c r="D82" i="11"/>
  <c r="D124" i="11"/>
  <c r="D61" i="11"/>
  <c r="D45" i="11"/>
  <c r="D138" i="11"/>
  <c r="D96" i="11"/>
  <c r="J10" i="1"/>
  <c r="J9" i="1" s="1"/>
  <c r="D110" i="11"/>
  <c r="D103" i="11"/>
  <c r="D41" i="11"/>
  <c r="K41" i="11" s="1"/>
  <c r="D23" i="11"/>
  <c r="D75" i="11"/>
  <c r="D5" i="11"/>
  <c r="K5" i="11" s="1"/>
  <c r="D2" i="11"/>
  <c r="K2" i="11" s="1"/>
  <c r="D15" i="11"/>
  <c r="K15" i="11" s="1"/>
  <c r="D151" i="11"/>
  <c r="D68" i="11"/>
  <c r="L33" i="11"/>
  <c r="L37" i="11"/>
  <c r="L39" i="11"/>
  <c r="L151" i="11"/>
  <c r="K35" i="11"/>
  <c r="L32" i="11" s="1"/>
  <c r="K23" i="11"/>
  <c r="L23" i="11" s="1"/>
  <c r="K32" i="11"/>
  <c r="M53" i="11" s="1"/>
  <c r="N53" i="11" s="1"/>
  <c r="E11" i="11"/>
  <c r="E51" i="11"/>
  <c r="E47" i="11"/>
  <c r="E49" i="11"/>
  <c r="B18" i="1"/>
  <c r="E12" i="11"/>
  <c r="E50" i="11"/>
  <c r="E48" i="11"/>
  <c r="L149" i="11"/>
  <c r="L47" i="11" l="1"/>
  <c r="D118" i="11"/>
  <c r="D62" i="11"/>
  <c r="D76" i="11"/>
  <c r="D69" i="11"/>
  <c r="D50" i="11"/>
  <c r="D22" i="11"/>
  <c r="K22" i="11" s="1"/>
  <c r="D90" i="11"/>
  <c r="D7" i="11"/>
  <c r="D38" i="11"/>
  <c r="K38" i="11" s="1"/>
  <c r="L38" i="11" s="1"/>
  <c r="D30" i="11"/>
  <c r="K30" i="11" s="1"/>
  <c r="D104" i="11"/>
  <c r="D29" i="11"/>
  <c r="K29" i="11" s="1"/>
  <c r="D24" i="11"/>
  <c r="D55" i="11"/>
  <c r="D152" i="11"/>
  <c r="D132" i="11"/>
  <c r="D83" i="11"/>
  <c r="D145" i="11"/>
  <c r="D125" i="11"/>
  <c r="D139" i="11"/>
  <c r="D97" i="11"/>
  <c r="D111" i="11"/>
  <c r="K10" i="1"/>
  <c r="K9" i="1" s="1"/>
  <c r="M151" i="11"/>
  <c r="N151" i="11" s="1"/>
  <c r="L41" i="11"/>
  <c r="K7" i="11"/>
  <c r="M55" i="11" s="1"/>
  <c r="N55" i="11" s="1"/>
  <c r="K24" i="11"/>
  <c r="M152" i="11" s="1"/>
  <c r="N152" i="11" s="1"/>
  <c r="E52" i="11"/>
  <c r="E56" i="11"/>
  <c r="E58" i="11"/>
  <c r="E53" i="11"/>
  <c r="E57" i="11"/>
  <c r="B19" i="1"/>
  <c r="E54" i="11"/>
  <c r="E55" i="11"/>
  <c r="L142" i="11"/>
  <c r="L34" i="11" l="1"/>
  <c r="L29" i="11"/>
  <c r="L18" i="11"/>
  <c r="L30" i="11"/>
  <c r="D105" i="11"/>
  <c r="D31" i="11"/>
  <c r="K31" i="11" s="1"/>
  <c r="L31" i="11" s="1"/>
  <c r="D13" i="11"/>
  <c r="K13" i="11" s="1"/>
  <c r="M153" i="11" s="1"/>
  <c r="N153" i="11" s="1"/>
  <c r="D46" i="11"/>
  <c r="K46" i="11" s="1"/>
  <c r="D77" i="11"/>
  <c r="D133" i="11"/>
  <c r="D140" i="11"/>
  <c r="D21" i="11"/>
  <c r="K21" i="11" s="1"/>
  <c r="L20" i="11" s="1"/>
  <c r="D63" i="11"/>
  <c r="D91" i="11"/>
  <c r="D51" i="11"/>
  <c r="K51" i="11" s="1"/>
  <c r="D70" i="11"/>
  <c r="D56" i="11"/>
  <c r="D119" i="11"/>
  <c r="D26" i="11"/>
  <c r="K26" i="11" s="1"/>
  <c r="D146" i="11"/>
  <c r="D126" i="11"/>
  <c r="D16" i="11"/>
  <c r="K16" i="11" s="1"/>
  <c r="D84" i="11"/>
  <c r="L10" i="1"/>
  <c r="L9" i="1" s="1"/>
  <c r="D98" i="11"/>
  <c r="D153" i="11"/>
  <c r="D112" i="11"/>
  <c r="L25" i="11"/>
  <c r="L42" i="11"/>
  <c r="L35" i="11"/>
  <c r="E65" i="11"/>
  <c r="E59" i="11"/>
  <c r="B20" i="1"/>
  <c r="E61" i="11"/>
  <c r="E60" i="11"/>
  <c r="E63" i="11"/>
  <c r="E64" i="11"/>
  <c r="E62" i="11"/>
  <c r="L152" i="11"/>
  <c r="L49" i="11" l="1"/>
  <c r="L51" i="11"/>
  <c r="L43" i="11"/>
  <c r="L46" i="11"/>
  <c r="L26" i="11"/>
  <c r="D134" i="11"/>
  <c r="D154" i="11"/>
  <c r="D27" i="11"/>
  <c r="K27" i="11" s="1"/>
  <c r="D141" i="11"/>
  <c r="D92" i="11"/>
  <c r="D99" i="11"/>
  <c r="D19" i="11"/>
  <c r="K19" i="11" s="1"/>
  <c r="D9" i="11"/>
  <c r="K9" i="11" s="1"/>
  <c r="L21" i="11" s="1"/>
  <c r="D127" i="11"/>
  <c r="D71" i="11"/>
  <c r="D57" i="11"/>
  <c r="D85" i="11"/>
  <c r="D106" i="11"/>
  <c r="D11" i="11"/>
  <c r="K11" i="11" s="1"/>
  <c r="L11" i="11" s="1"/>
  <c r="D113" i="11"/>
  <c r="D120" i="11"/>
  <c r="D4" i="11"/>
  <c r="K4" i="11" s="1"/>
  <c r="L16" i="11" s="1"/>
  <c r="M10" i="1"/>
  <c r="M9" i="1" s="1"/>
  <c r="D10" i="11"/>
  <c r="K10" i="11" s="1"/>
  <c r="L10" i="11" s="1"/>
  <c r="D14" i="11"/>
  <c r="K14" i="11" s="1"/>
  <c r="L14" i="11" s="1"/>
  <c r="D78" i="11"/>
  <c r="D147" i="11"/>
  <c r="D64" i="11"/>
  <c r="M41" i="11"/>
  <c r="N41" i="11" s="1"/>
  <c r="E72" i="11"/>
  <c r="E66" i="11"/>
  <c r="E69" i="11"/>
  <c r="E67" i="11"/>
  <c r="B21" i="1"/>
  <c r="E68" i="11"/>
  <c r="E71" i="11"/>
  <c r="E70" i="11"/>
  <c r="M36" i="11" l="1"/>
  <c r="N36" i="11" s="1"/>
  <c r="L27" i="11"/>
  <c r="M50" i="11"/>
  <c r="N50" i="11" s="1"/>
  <c r="L19" i="11"/>
  <c r="D128" i="11"/>
  <c r="L12" i="11"/>
  <c r="D148" i="11"/>
  <c r="D142" i="11"/>
  <c r="D86" i="11"/>
  <c r="D8" i="11"/>
  <c r="K8" i="11" s="1"/>
  <c r="L15" i="11" s="1"/>
  <c r="D121" i="11"/>
  <c r="D79" i="11"/>
  <c r="D100" i="11"/>
  <c r="D58" i="11"/>
  <c r="D114" i="11"/>
  <c r="D17" i="11"/>
  <c r="K17" i="11" s="1"/>
  <c r="L17" i="11" s="1"/>
  <c r="D3" i="11"/>
  <c r="M34" i="11" s="1"/>
  <c r="N34" i="11" s="1"/>
  <c r="D93" i="11"/>
  <c r="D107" i="11"/>
  <c r="D72" i="11"/>
  <c r="D42" i="11"/>
  <c r="D155" i="11"/>
  <c r="D28" i="11"/>
  <c r="K28" i="11" s="1"/>
  <c r="M3" i="11" s="1"/>
  <c r="N3" i="11" s="1"/>
  <c r="D65" i="11"/>
  <c r="D12" i="11"/>
  <c r="K12" i="11" s="1"/>
  <c r="D6" i="11"/>
  <c r="K6" i="11" s="1"/>
  <c r="D135" i="11"/>
  <c r="M44" i="11"/>
  <c r="N44" i="11" s="1"/>
  <c r="L2" i="11"/>
  <c r="L22" i="1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3" i="1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24" i="11"/>
  <c r="N24" i="11" s="1"/>
  <c r="M20" i="11"/>
  <c r="N20" i="11" s="1"/>
  <c r="M18" i="11"/>
  <c r="N18" i="11" s="1"/>
  <c r="M10" i="11"/>
  <c r="N10" i="11" s="1"/>
  <c r="M11" i="11"/>
  <c r="N11" i="11" s="1"/>
  <c r="L4" i="11"/>
  <c r="M2" i="11"/>
  <c r="N2" i="11" s="1"/>
  <c r="L8" i="11"/>
  <c r="E77" i="11"/>
  <c r="E73" i="11"/>
  <c r="E79" i="11"/>
  <c r="B22" i="1"/>
  <c r="E76" i="11"/>
  <c r="E78" i="11"/>
  <c r="E75" i="11"/>
  <c r="E74" i="11"/>
  <c r="M16" i="11" l="1"/>
  <c r="N16" i="11" s="1"/>
  <c r="M21" i="11"/>
  <c r="N21" i="11" s="1"/>
  <c r="M7" i="11"/>
  <c r="N7" i="11" s="1"/>
  <c r="M23" i="11"/>
  <c r="N23" i="11" s="1"/>
  <c r="M8" i="11"/>
  <c r="N8" i="11" s="1"/>
  <c r="M13" i="11"/>
  <c r="N13" i="11" s="1"/>
  <c r="L24" i="11"/>
  <c r="L6" i="11"/>
  <c r="M4" i="11"/>
  <c r="N4" i="11" s="1"/>
  <c r="M14" i="11"/>
  <c r="N14" i="11" s="1"/>
  <c r="M17" i="11"/>
  <c r="N17" i="11" s="1"/>
  <c r="M22" i="11"/>
  <c r="N22" i="11" s="1"/>
  <c r="L13" i="11"/>
  <c r="L28" i="11"/>
  <c r="M9" i="11"/>
  <c r="N9" i="11" s="1"/>
  <c r="M6" i="11"/>
  <c r="N6" i="11" s="1"/>
  <c r="M12" i="11"/>
  <c r="N12" i="11" s="1"/>
  <c r="M5" i="11"/>
  <c r="N5" i="11" s="1"/>
  <c r="M51" i="11"/>
  <c r="N51" i="11" s="1"/>
  <c r="M30" i="11"/>
  <c r="N30" i="11" s="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<sst xmlns="http://schemas.openxmlformats.org/spreadsheetml/2006/main" count="1871" uniqueCount="554">
  <si>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</si>
  <si>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</si>
  <si>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</si>
  <si>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</si>
  <si>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</si>
  <si>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</si>
  <si>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</si>
  <si>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</si>
  <si>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</si>
  <si>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</si>
  <si>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</si>
  <si>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</si>
  <si>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</si>
  <si>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</si>
  <si>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</si>
  <si>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</si>
  <si>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</si>
  <si>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</si>
  <si>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</si>
  <si>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</si>
  <si>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</si>
  <si>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</si>
  <si>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</si>
  <si>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</si>
  <si>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</si>
  <si>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</si>
  <si>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</si>
  <si>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</si>
  <si>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</si>
  <si>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</si>
  <si>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</si>
  <si>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</si>
  <si>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</si>
  <si>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</si>
  <si>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</si>
  <si>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</si>
  <si>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</si>
  <si>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</si>
  <si>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</si>
  <si>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</si>
  <si>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</si>
  <si>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</si>
  <si>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</si>
  <si>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</si>
  <si>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</si>
  <si>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</si>
  <si>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</si>
  <si>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</si>
  <si>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</si>
  <si>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</si>
  <si>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</si>
  <si>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</si>
  <si>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</si>
  <si>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</si>
  <si>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</si>
  <si>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</si>
  <si>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</si>
  <si>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</si>
  <si>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</si>
  <si>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</si>
  <si>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</si>
  <si>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</si>
  <si>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</si>
  <si>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</si>
  <si>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</si>
  <si>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</si>
  <si>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</si>
  <si>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</si>
  <si>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</si>
  <si>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</si>
  <si>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</si>
  <si>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</si>
  <si>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</si>
  <si>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</si>
  <si>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</si>
  <si>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</si>
  <si>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</si>
  <si>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</si>
  <si>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</si>
  <si>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</si>
  <si>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</si>
  <si>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</si>
  <si>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</si>
  <si>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</si>
  <si>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</si>
  <si>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</si>
  <si>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</si>
  <si>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</si>
  <si>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</si>
  <si>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</si>
  <si>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</si>
  <si>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</si>
  <si>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</si>
  <si>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</si>
  <si>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</si>
  <si>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</si>
  <si>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</si>
  <si>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</si>
  <si>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</si>
  <si>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</si>
  <si>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</si>
  <si>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</si>
  <si>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</si>
  <si>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</si>
  <si>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</si>
  <si>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</si>
  <si>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</si>
  <si>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</si>
  <si>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</si>
  <si>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</si>
  <si>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</si>
  <si>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</si>
  <si>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</si>
  <si>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</si>
  <si>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</si>
  <si>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</si>
  <si>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</si>
  <si>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</si>
  <si>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</si>
  <si>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</si>
  <si>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</si>
  <si>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</si>
  <si>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</si>
  <si>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</si>
  <si>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</si>
  <si>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</si>
  <si>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</si>
  <si>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</si>
  <si>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</si>
  <si>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</si>
  <si>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</si>
  <si>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</si>
  <si>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</si>
  <si>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</si>
  <si>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</si>
  <si>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</si>
  <si>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</si>
  <si>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</si>
  <si>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</si>
  <si>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</si>
  <si>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</si>
  <si>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</si>
  <si>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</si>
  <si>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</si>
  <si>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</si>
  <si>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</si>
  <si>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</si>
  <si>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</si>
  <si>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</si>
  <si>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</si>
  <si>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</si>
  <si>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</si>
  <si>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</si>
  <si>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</si>
  <si>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</si>
  <si>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</si>
  <si>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</si>
  <si>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</si>
  <si>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</si>
  <si>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</si>
  <si>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</si>
  <si>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</si>
  <si>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</si>
  <si>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</si>
  <si>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</si>
  <si>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</si>
  <si>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</si>
  <si>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</si>
  <si>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</si>
  <si>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</si>
  <si>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</si>
  <si>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</si>
  <si>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</si>
  <si>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</si>
  <si>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</si>
  <si>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</si>
  <si>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</si>
  <si>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</si>
  <si>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</si>
  <si>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</si>
  <si>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</si>
  <si>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</si>
  <si>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</si>
  <si>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</si>
  <si>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</si>
  <si>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</si>
  <si>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</si>
  <si>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</si>
  <si>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</si>
  <si>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</si>
  <si>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</si>
  <si>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</si>
  <si>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</si>
  <si>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</si>
  <si>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</si>
  <si>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</si>
  <si>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</si>
  <si>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</si>
  <si>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</si>
  <si>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</si>
  <si>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</si>
  <si>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</si>
  <si>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</si>
  <si>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</si>
  <si>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</si>
  <si>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</si>
  <si>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</si>
  <si>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</si>
  <si>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</si>
  <si>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</si>
  <si>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</si>
  <si>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</si>
  <si>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</si>
  <si>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</si>
  <si>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</si>
  <si>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</si>
  <si>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</si>
  <si>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</si>
  <si>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</si>
  <si>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</si>
  <si>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</si>
  <si>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</si>
  <si>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</si>
  <si>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</si>
  <si>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</si>
  <si>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</si>
  <si>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</si>
  <si>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</si>
  <si>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</si>
  <si>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</si>
  <si>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</si>
  <si>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</si>
  <si>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</si>
  <si>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</si>
  <si>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</si>
  <si>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</si>
  <si>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</si>
  <si>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</si>
  <si>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</si>
  <si>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</si>
  <si>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</si>
  <si>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</si>
  <si>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</si>
  <si>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</si>
  <si>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</si>
  <si>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</si>
  <si>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</si>
  <si>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</si>
  <si>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</si>
  <si>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</si>
  <si>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</si>
  <si>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</si>
  <si>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</si>
  <si>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</si>
  <si>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</si>
  <si>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</si>
  <si>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</si>
  <si>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</si>
  <si>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</si>
  <si>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</si>
  <si>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</si>
  <si>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</si>
  <si>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</si>
  <si>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</si>
  <si>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</si>
  <si>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</si>
  <si>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</si>
  <si>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</si>
  <si>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</si>
  <si>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</si>
  <si>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</si>
  <si>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</si>
  <si>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</si>
  <si>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</si>
  <si>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</si>
  <si>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</si>
  <si>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</si>
  <si>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</si>
  <si>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</si>
  <si>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</si>
  <si>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</si>
  <si>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</si>
  <si>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</si>
  <si>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</si>
  <si>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</si>
  <si>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</si>
  <si>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</si>
  <si>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</si>
  <si>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</si>
  <si>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</si>
  <si>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</si>
  <si>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</si>
  <si>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</si>
  <si>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</si>
  <si>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</si>
  <si>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</si>
  <si>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</si>
  <si>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</si>
  <si>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</si>
  <si>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</si>
  <si>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</si>
  <si>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</si>
  <si>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</si>
  <si>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</si>
  <si>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</si>
  <si>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</si>
  <si>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</si>
  <si>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</si>
  <si>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</si>
  <si>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</si>
  <si>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</si>
  <si>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</si>
  <si>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</si>
  <si>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</si>
  <si>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</si>
  <si>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</si>
  <si>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</si>
  <si>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</si>
  <si>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</si>
  <si>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</si>
  <si>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</si>
  <si>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</si>
  <si>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</si>
  <si>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</si>
  <si>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</si>
  <si>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</si>
  <si>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</si>
  <si>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</si>
  <si>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</si>
  <si>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</si>
  <si>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</si>
  <si>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</si>
  <si>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</si>
  <si>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</si>
  <si>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</si>
  <si>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</si>
  <si>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</si>
  <si>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</si>
  <si>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</si>
  <si>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</si>
  <si>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</si>
  <si>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</si>
  <si>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</si>
  <si>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</si>
  <si>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</si>
  <si>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</si>
  <si>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</si>
  <si>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</si>
  <si>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</si>
  <si>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</si>
  <si>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</si>
  <si>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</si>
  <si>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</si>
  <si>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</si>
  <si>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</si>
  <si>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</si>
  <si>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</si>
  <si>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</si>
  <si>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</si>
  <si>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</si>
  <si>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</si>
  <si>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</si>
  <si>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</si>
  <si>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</si>
  <si>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</si>
  <si>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</si>
  <si>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</si>
  <si>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</si>
  <si>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</si>
  <si>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</si>
  <si>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</si>
  <si>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</si>
  <si>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</si>
  <si>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</si>
  <si>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</si>
  <si>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</si>
  <si>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</si>
  <si>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</si>
  <si>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</si>
  <si>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</si>
  <si>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</si>
  <si>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</si>
  <si>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</si>
  <si>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</si>
  <si>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</si>
  <si>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</si>
  <si>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</si>
  <si>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</si>
  <si>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</si>
  <si>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</si>
  <si>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</si>
  <si>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</si>
  <si>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</si>
  <si>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</si>
  <si>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</si>
  <si>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</si>
  <si>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</si>
  <si>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</si>
  <si>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</si>
  <si>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</si>
  <si>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</si>
  <si>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</si>
  <si>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</si>
  <si>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</si>
  <si>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</si>
  <si>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</si>
  <si>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</si>
  <si>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</si>
  <si>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</si>
  <si>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</si>
  <si>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</si>
  <si>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</si>
  <si>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</si>
  <si>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</si>
  <si>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</si>
  <si>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</si>
  <si>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</si>
  <si>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</si>
  <si>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</si>
  <si>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</si>
  <si>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</si>
  <si>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</si>
  <si>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</si>
  <si>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</si>
  <si>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</si>
  <si>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</si>
  <si>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</si>
  <si>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</si>
  <si>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</si>
  <si>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</si>
  <si>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</si>
  <si>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</si>
  <si>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</si>
  <si>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</si>
  <si>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</si>
  <si>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</si>
  <si>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</si>
  <si>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</si>
  <si>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</si>
  <si>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</si>
  <si>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</si>
  <si>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</si>
  <si>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</si>
  <si>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</si>
  <si>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</si>
  <si>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</si>
  <si>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</si>
  <si>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</si>
  <si>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</si>
  <si>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</si>
  <si>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</si>
  <si>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</si>
  <si>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</si>
  <si>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</si>
  <si>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</si>
  <si>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</si>
  <si>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</si>
  <si>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</si>
  <si>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</si>
  <si>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</si>
  <si>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</si>
  <si>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</si>
  <si>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</si>
  <si>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</si>
  <si>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</si>
  <si>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</si>
  <si>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</si>
  <si>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</si>
  <si>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</si>
  <si>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</si>
  <si>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</si>
  <si>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</si>
  <si>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</si>
  <si>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</si>
  <si>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</si>
  <si>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</si>
  <si>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</si>
  <si>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</si>
  <si>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</si>
  <si>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</si>
  <si>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</si>
  <si>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</si>
  <si>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</si>
  <si>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</si>
  <si>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</si>
  <si>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</si>
  <si>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</si>
  <si>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</si>
  <si>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</si>
  <si>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</si>
  <si>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</si>
  <si>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</si>
  <si>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</si>
  <si>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</si>
  <si>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</si>
  <si>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</si>
  <si>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</si>
  <si>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</si>
  <si>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</si>
  <si>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</si>
  <si>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</si>
  <si>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</si>
  <si>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</si>
  <si>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</si>
  <si>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</si>
  <si>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</si>
  <si>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</si>
  <si>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</si>
  <si>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</si>
  <si>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</si>
  <si>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</si>
  <si>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</si>
  <si>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</si>
  <si>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</si>
  <si>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</si>
  <si>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</si>
  <si>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</si>
  <si>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</si>
  <si>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</si>
  <si>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</si>
  <si>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</si>
  <si>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</si>
  <si>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</si>
  <si>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</si>
  <si>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</si>
  <si>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</si>
  <si>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</si>
  <si>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</si>
  <si>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</si>
  <si>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</si>
  <si>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</si>
  <si>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</si>
  <si>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</si>
  <si>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</si>
  <si>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</si>
  <si>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</si>
  <si>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</si>
  <si>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</si>
  <si>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</si>
  <si>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</si>
  <si>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</si>
  <si>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</si>
  <si>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</si>
  <si>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</si>
  <si>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</si>
  <si>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</si>
  <si>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</si>
  <si>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</si>
  <si>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</si>
  <si>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</si>
  <si>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Emails / Touchpoints / Misc. Calls</t>
  </si>
  <si>
    <t>Timetracker</t>
  </si>
  <si>
    <t>WIN Speaker Series</t>
  </si>
  <si>
    <t>Jaggaer Training - 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</si>
</sst>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7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imeTracking%20Files/LCOE%20Timesheet/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5.88671875" style="12" customWidth="1"/>
    <col min="7" max="7" width="9.33203125" style="12" bestFit="1" customWidth="1"/>
    <col min="8" max="13" width="8.88671875" style="12" customWidth="1"/>
    <col min="14" max="14" width="14.33203125" style="12" bestFit="1" customWidth="1"/>
    <col min="15" max="16384" width="9.33203125" style="12"/>
  </cols>
  <sheetData>
    <row r="2" spans="1:18">
      <c r="F2" s="213"/>
      <c r="G2" s="213"/>
      <c r="O2" s="214" t="str">
        <f>IF(N31&lt;40,"You have submitted less than 40 hours, please review!","")</f>
        <v>You have submitted less than 40 hours, please review!</v>
      </c>
      <c r="P2" s="214"/>
    </row>
    <row r="3" spans="1:18" ht="14.5" customHeight="1" thickBot="1">
      <c r="O3" s="214"/>
      <c r="P3" s="214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4"/>
      <c r="P4" s="214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4"/>
      <c r="P5" s="214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5" t="s">
        <v>46</v>
      </c>
      <c r="D7" s="217" t="s">
        <v>254</v>
      </c>
      <c r="E7" s="217" t="s">
        <v>12</v>
      </c>
      <c r="F7" s="217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6"/>
      <c r="D8" s="218"/>
      <c r="E8" s="218"/>
      <c r="F8" s="218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07" t="s">
        <v>224</v>
      </c>
      <c r="D29" s="208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09" t="s">
        <v>225</v>
      </c>
      <c r="D30" s="210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1" t="s">
        <v>8</v>
      </c>
      <c r="D31" s="212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topLeftCell="A2" zoomScaleNormal="100" workbookViewId="0">
      <selection activeCell="I11" sqref="I11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8" style="12" customWidth="1"/>
    <col min="7" max="7" width="9.33203125" style="12" bestFit="1" customWidth="1"/>
    <col min="8" max="8" width="10.44140625" style="12" customWidth="1"/>
    <col min="9" max="9" width="12" style="12" customWidth="1"/>
    <col min="10" max="10" width="12.109375" style="12" customWidth="1"/>
    <col min="11" max="13" width="8.88671875" style="12" customWidth="1"/>
    <col min="14" max="14" width="14.33203125" style="12" bestFit="1" customWidth="1"/>
    <col min="15" max="16384" width="9.33203125" style="12"/>
  </cols>
  <sheetData>
    <row r="2" spans="1:18" ht="13.5" thickBot="1">
      <c r="H2" s="227" t="s">
        <v>18</v>
      </c>
      <c r="I2" s="228"/>
      <c r="J2" s="228"/>
    </row>
    <row r="3" spans="1:18">
      <c r="H3" s="31" t="s">
        <v>13</v>
      </c>
      <c r="I3" s="221" t="s">
        <v>290</v>
      </c>
      <c r="J3" s="222"/>
    </row>
    <row r="4" spans="1:18">
      <c r="F4" s="213"/>
      <c r="G4" s="213"/>
      <c r="H4" s="33" t="s">
        <v>178</v>
      </c>
      <c r="I4" s="223" t="s">
        <v>291</v>
      </c>
      <c r="J4" s="224"/>
      <c r="O4" s="214" t="str">
        <f>IF(N33&lt;40,"You have submitted less than 40 hours, please review!","")</f>
        <v/>
      </c>
      <c r="P4" s="214"/>
    </row>
    <row r="5" spans="1:18" ht="14.5" customHeight="1" thickBot="1">
      <c r="H5" s="33" t="s">
        <v>283</v>
      </c>
      <c r="I5" s="225" t="s">
        <v>292</v>
      </c>
      <c r="J5" s="226"/>
      <c r="O5" s="214"/>
      <c r="P5" s="214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5" t="s">
        <v>293</v>
      </c>
      <c r="J6" s="226"/>
      <c r="O6" s="214"/>
      <c r="P6" s="214"/>
    </row>
    <row r="7" spans="1:18" ht="14.25" customHeight="1" thickBot="1">
      <c r="D7" s="26" t="s">
        <v>252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19" t="s">
        <v>294</v>
      </c>
      <c r="J7" s="220"/>
      <c r="O7" s="214"/>
      <c r="P7" s="214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5" t="s">
        <v>46</v>
      </c>
      <c r="D9" s="217" t="s">
        <v>254</v>
      </c>
      <c r="E9" s="217" t="s">
        <v>12</v>
      </c>
      <c r="F9" s="217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6"/>
      <c r="D10" s="218"/>
      <c r="E10" s="218"/>
      <c r="F10" s="218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249" t="s">
        <v>178</v>
      </c>
      <c r="D11" s="248" t="s">
        <v>430</v>
      </c>
      <c r="E11" s="20" t="str">
        <f>IF(D11="","",VLOOKUP(D11,'Bill Code Master - LCOE'!$G$12:$K$90,5,0))</f>
        <v>CLR-001-BD</v>
      </c>
      <c r="F11" s="255"/>
      <c r="G11" s="254"/>
      <c r="H11" s="252"/>
      <c r="I11" s="253">
        <v>0.5</v>
      </c>
      <c r="J11" s="251"/>
      <c r="K11" s="251">
        <v>1.5</v>
      </c>
      <c r="L11" s="251">
        <v>1.5</v>
      </c>
      <c r="M11" s="251">
        <v>0.5</v>
      </c>
      <c r="N11" s="119">
        <f t="shared" ref="N11:N32" si="2">SUM(G11:M11)</f>
        <v>4</v>
      </c>
    </row>
    <row r="12" spans="1:18" ht="12.75" customHeight="1">
      <c r="A12" s="17"/>
      <c r="B12" s="18"/>
      <c r="C12" s="249" t="s">
        <v>178</v>
      </c>
      <c r="D12" s="250" t="s">
        <v>478</v>
      </c>
      <c r="E12" s="20" t="str">
        <f>IF(D12="","",VLOOKUP(D12,'Bill Code Master - LCOE'!$G$12:$K$90,5,0))</f>
        <v>BRD-001-CB</v>
      </c>
      <c r="F12" s="256"/>
      <c r="G12" s="254">
        <v>4</v>
      </c>
      <c r="H12" s="254">
        <v>6.5</v>
      </c>
      <c r="I12" s="253">
        <v>12</v>
      </c>
      <c r="J12" s="253">
        <v>11</v>
      </c>
      <c r="K12" s="253">
        <v>8</v>
      </c>
      <c r="L12" s="253">
        <v>6</v>
      </c>
      <c r="M12" s="253">
        <v>3</v>
      </c>
      <c r="N12" s="122">
        <f t="shared" si="2"/>
        <v>50.5</v>
      </c>
    </row>
    <row r="13" spans="1:18" ht="12.75" customHeight="1">
      <c r="A13" s="17"/>
      <c r="B13" s="18"/>
      <c r="C13" s="249" t="s">
        <v>179</v>
      </c>
      <c r="D13" s="248" t="s">
        <v>419</v>
      </c>
      <c r="E13" s="20" t="str">
        <f>IF(D13="","",VLOOKUP(D13,'Bill Code Master - LCOE'!$G$12:$K$90,5,0))</f>
        <v>COE-015-LD</v>
      </c>
      <c r="F13" s="255" t="s">
        <v>550</v>
      </c>
      <c r="G13" s="254"/>
      <c r="H13" s="254"/>
      <c r="I13" s="253">
        <v>2</v>
      </c>
      <c r="J13" s="253">
        <v>1</v>
      </c>
      <c r="K13" s="253">
        <v>2</v>
      </c>
      <c r="L13" s="253">
        <v>1</v>
      </c>
      <c r="M13" s="253">
        <v>1</v>
      </c>
      <c r="N13" s="122">
        <f t="shared" si="2"/>
        <v>7</v>
      </c>
    </row>
    <row r="14" spans="1:18" ht="12.75" customHeight="1">
      <c r="A14" s="17"/>
      <c r="B14" s="18"/>
      <c r="C14" s="249" t="s">
        <v>179</v>
      </c>
      <c r="D14" s="248" t="s">
        <v>205</v>
      </c>
      <c r="E14" s="20" t="str">
        <f>IF(D14="","",VLOOKUP(D14,'Bill Code Master - LCOE'!$G$12:$K$90,5,0))</f>
        <v>IMP-004-ID</v>
      </c>
      <c r="F14" s="255" t="s">
        <v>551</v>
      </c>
      <c r="G14" s="254"/>
      <c r="H14" s="254"/>
      <c r="I14" s="253">
        <v>0.5</v>
      </c>
      <c r="J14" s="253"/>
      <c r="K14" s="253"/>
      <c r="L14" s="253">
        <v>0.5</v>
      </c>
      <c r="M14" s="253">
        <v>0.5</v>
      </c>
      <c r="N14" s="122">
        <f t="shared" si="2"/>
        <v>1.5</v>
      </c>
      <c r="Q14" s="21"/>
      <c r="R14" s="54"/>
    </row>
    <row r="15" spans="1:18" ht="12.75" customHeight="1">
      <c r="A15" s="17"/>
      <c r="B15" s="18"/>
      <c r="C15" s="249" t="s">
        <v>179</v>
      </c>
      <c r="D15" s="248" t="s">
        <v>459</v>
      </c>
      <c r="E15" s="20" t="str">
        <f>IF(D15="","",VLOOKUP(D15,'Bill Code Master - LCOE'!$G$12:$K$90,5,0))</f>
        <v>COE-012-LD</v>
      </c>
      <c r="F15" s="255"/>
      <c r="G15" s="254"/>
      <c r="H15" s="254"/>
      <c r="I15" s="253"/>
      <c r="J15" s="253"/>
      <c r="K15" s="253"/>
      <c r="L15" s="253"/>
      <c r="M15" s="253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249" t="s">
        <v>83</v>
      </c>
      <c r="D16" s="248" t="s">
        <v>287</v>
      </c>
      <c r="E16" s="20" t="str">
        <f>IF(D16="","",VLOOKUP(D16,'Bill Code Master - LCOE'!$G$12:$K$90,5,0))</f>
        <v>IMP-014-ID</v>
      </c>
      <c r="F16" s="255" t="s">
        <v>552</v>
      </c>
      <c r="G16" s="254"/>
      <c r="H16" s="254"/>
      <c r="I16" s="253"/>
      <c r="J16" s="253"/>
      <c r="K16" s="253"/>
      <c r="L16" s="253">
        <v>1</v>
      </c>
      <c r="M16" s="253"/>
      <c r="N16" s="122">
        <f t="shared" si="2"/>
        <v>1</v>
      </c>
    </row>
    <row r="17" spans="1:14" ht="12.75" customHeight="1">
      <c r="A17" s="17"/>
      <c r="B17" s="18">
        <f t="shared" si="3"/>
        <v>2</v>
      </c>
      <c r="C17" s="249" t="s">
        <v>179</v>
      </c>
      <c r="D17" s="248" t="s">
        <v>496</v>
      </c>
      <c r="E17" s="20" t="str">
        <f>IF(D17="","",VLOOKUP(D17,'Bill Code Master - LCOE'!$G$12:$K$90,5,0))</f>
        <v>COE-017-LD</v>
      </c>
      <c r="F17" s="255" t="s">
        <v>553</v>
      </c>
      <c r="G17" s="254"/>
      <c r="H17" s="254"/>
      <c r="I17" s="253"/>
      <c r="J17" s="253"/>
      <c r="K17" s="253"/>
      <c r="L17" s="253">
        <v>1</v>
      </c>
      <c r="M17" s="253">
        <v>1</v>
      </c>
      <c r="N17" s="122">
        <f t="shared" si="2"/>
        <v>2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2"/>
      <c r="G18" s="205"/>
      <c r="H18" s="205"/>
      <c r="I18" s="196"/>
      <c r="J18" s="196"/>
      <c r="K18" s="196"/>
      <c r="L18" s="196"/>
      <c r="M18" s="196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2"/>
      <c r="G19" s="205"/>
      <c r="H19" s="205"/>
      <c r="I19" s="196"/>
      <c r="J19" s="196"/>
      <c r="K19" s="196"/>
      <c r="L19" s="196"/>
      <c r="M19" s="196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2"/>
      <c r="G20" s="205"/>
      <c r="H20" s="205"/>
      <c r="I20" s="196"/>
      <c r="J20" s="196"/>
      <c r="K20" s="196"/>
      <c r="L20" s="196"/>
      <c r="M20" s="196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2"/>
      <c r="G21" s="205"/>
      <c r="H21" s="205"/>
      <c r="I21" s="196"/>
      <c r="J21" s="196"/>
      <c r="K21" s="196"/>
      <c r="L21" s="196"/>
      <c r="M21" s="196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3"/>
      <c r="G22" s="205"/>
      <c r="H22" s="205"/>
      <c r="I22" s="196"/>
      <c r="J22" s="196"/>
      <c r="K22" s="196"/>
      <c r="L22" s="196"/>
      <c r="M22" s="196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3"/>
      <c r="G23" s="205"/>
      <c r="H23" s="205"/>
      <c r="I23" s="196"/>
      <c r="J23" s="196"/>
      <c r="K23" s="196"/>
      <c r="L23" s="196"/>
      <c r="M23" s="196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3"/>
      <c r="G24" s="205"/>
      <c r="H24" s="205"/>
      <c r="I24" s="196"/>
      <c r="J24" s="196"/>
      <c r="K24" s="196"/>
      <c r="L24" s="196"/>
      <c r="M24" s="196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3"/>
      <c r="G25" s="205"/>
      <c r="H25" s="205"/>
      <c r="I25" s="196"/>
      <c r="J25" s="196"/>
      <c r="K25" s="196"/>
      <c r="L25" s="196"/>
      <c r="M25" s="196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3"/>
      <c r="G26" s="205"/>
      <c r="H26" s="205"/>
      <c r="I26" s="196"/>
      <c r="J26" s="196"/>
      <c r="K26" s="196"/>
      <c r="L26" s="196"/>
      <c r="M26" s="196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3"/>
      <c r="G27" s="205"/>
      <c r="H27" s="205"/>
      <c r="I27" s="196"/>
      <c r="J27" s="196"/>
      <c r="K27" s="196"/>
      <c r="L27" s="196"/>
      <c r="M27" s="196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3"/>
      <c r="G28" s="205"/>
      <c r="H28" s="205"/>
      <c r="I28" s="196"/>
      <c r="J28" s="196"/>
      <c r="K28" s="196"/>
      <c r="L28" s="196"/>
      <c r="M28" s="196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3"/>
      <c r="G29" s="205"/>
      <c r="H29" s="205"/>
      <c r="I29" s="196"/>
      <c r="J29" s="196"/>
      <c r="K29" s="196"/>
      <c r="L29" s="196"/>
      <c r="M29" s="196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3"/>
      <c r="G30" s="205"/>
      <c r="H30" s="205"/>
      <c r="I30" s="196"/>
      <c r="J30" s="196"/>
      <c r="K30" s="196"/>
      <c r="L30" s="199"/>
      <c r="M30" s="199"/>
      <c r="N30" s="122">
        <f t="shared" si="2"/>
        <v>0</v>
      </c>
    </row>
    <row r="31" spans="1:14" ht="12.75" customHeight="1">
      <c r="C31" s="207" t="s">
        <v>224</v>
      </c>
      <c r="D31" s="208"/>
      <c r="E31" s="55" t="str">
        <f>'Bill Code Master - LCOE'!K92</f>
        <v>COE-001-PTO</v>
      </c>
      <c r="F31" s="194"/>
      <c r="G31" s="206"/>
      <c r="H31" s="206"/>
      <c r="I31" s="197"/>
      <c r="J31" s="197"/>
      <c r="K31" s="197"/>
      <c r="L31" s="202"/>
      <c r="M31" s="197"/>
      <c r="N31" s="200">
        <f t="shared" si="2"/>
        <v>0</v>
      </c>
    </row>
    <row r="32" spans="1:14" ht="12.75" customHeight="1" thickBot="1">
      <c r="C32" s="209" t="s">
        <v>225</v>
      </c>
      <c r="D32" s="210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3"/>
      <c r="M32" s="204"/>
      <c r="N32" s="201">
        <f t="shared" si="2"/>
        <v>0</v>
      </c>
    </row>
    <row r="33" spans="3:14" ht="12.75" customHeight="1" thickBot="1">
      <c r="C33" s="211" t="s">
        <v>8</v>
      </c>
      <c r="D33" s="212"/>
      <c r="E33" s="24"/>
      <c r="F33" s="24"/>
      <c r="G33" s="126">
        <f t="shared" ref="G33:N33" si="4">SUM(G11:G32)</f>
        <v>4</v>
      </c>
      <c r="H33" s="126">
        <f t="shared" si="4"/>
        <v>6.5</v>
      </c>
      <c r="I33" s="126">
        <f t="shared" si="4"/>
        <v>15</v>
      </c>
      <c r="J33" s="126">
        <f t="shared" si="4"/>
        <v>12</v>
      </c>
      <c r="K33" s="126">
        <f t="shared" si="4"/>
        <v>11.5</v>
      </c>
      <c r="L33" s="126">
        <f t="shared" si="4"/>
        <v>11</v>
      </c>
      <c r="M33" s="126">
        <f t="shared" si="4"/>
        <v>6</v>
      </c>
      <c r="N33" s="127">
        <f t="shared" si="4"/>
        <v>66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3"/>
  <cols>
    <col min="1" max="1" width="21.109375" customWidth="1"/>
    <col min="2" max="2" width="11.5546875" style="9" customWidth="1"/>
    <col min="3" max="3" width="19.5546875" customWidth="1"/>
    <col min="4" max="4" width="18.88671875" customWidth="1"/>
    <col min="5" max="5" width="26" style="8" customWidth="1"/>
    <col min="6" max="6" width="12.88671875" customWidth="1"/>
    <col min="7" max="7" width="58.33203125" customWidth="1"/>
    <col min="8" max="8" width="17.33203125" customWidth="1"/>
    <col min="9" max="9" width="10.5546875" customWidth="1"/>
    <col min="10" max="10" width="13.88671875" customWidth="1"/>
    <col min="11" max="11" width="9.44140625" customWidth="1"/>
    <col min="12" max="12" width="10.5546875" customWidth="1"/>
    <col min="13" max="13" width="12.77734375" customWidth="1"/>
    <col min="14" max="14" width="15.44140625" customWidth="1"/>
  </cols>
  <sheetData>
    <row r="1" spans="1:14" ht="29.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5">
      <c r="A2" s="73" t="str">
        <f>IF('Time Entry'!$D$7="","",'Time Entry'!$D$7)</f>
        <v>Matthew Burgess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Entry'!$I$10="","",'Time Entry'!$I$10)</f>
        <v>44795</v>
      </c>
      <c r="E2" s="82" t="str">
        <f>IF('Time Entry'!$B$14="","",'Time Entry'!$B$14)</f>
        <v/>
      </c>
      <c r="F2" s="82" t="str">
        <f>IF('Time Entry'!C$14="","",'Time Entry'!C$14)</f>
        <v>LD</v>
      </c>
      <c r="G2" s="82" t="str">
        <f>IF('Time Entry'!D$14="","",'Time Entry'!D$14)</f>
        <v>Training - Developing</v>
      </c>
      <c r="H2" s="82" t="str">
        <f>IF('Time Entry'!E$14="","",'Time Entry'!E$14)</f>
        <v>IMP-004-ID</v>
      </c>
      <c r="I2" s="82">
        <f>IF('Time Entry'!$I$14="","",'Time Entry'!$I$14)</f>
        <v>0.5</v>
      </c>
      <c r="J2" s="82" t="str">
        <f>IF('Time Entry'!$F$14="","",'Time Entry'!$F$14)</f>
        <v>Timetracker</v>
      </c>
      <c r="K2" s="74">
        <f>IF(I2="","",(IF(AND(WEEKDAY(D2)&gt;1,WEEKDAY(D2)&lt;7),(IF(I2="","",(IF(I2&gt;8,8,I2)))),0)))</f>
        <v>0.5</v>
      </c>
      <c r="L2" s="85">
        <f t="shared" ref="L2:L33" si="0">IF(K2="","",(IF(AND(WEEKDAY(D2)&gt;1,WEEKDAY(D2)&lt;7),K2/8,0)))</f>
        <v>6.25E-2</v>
      </c>
      <c r="M2" s="86">
        <f t="shared" ref="M2:M33" si="1">IF(I2="","",(IF(K2=0,0,(K2/SUMIF($D$2:$D$155,D2,$K$2:$K$155)))*8))</f>
        <v>0.36363636363636365</v>
      </c>
      <c r="N2" s="87">
        <f>IF(I2="","",(M2/8))</f>
        <v>4.5454545454545456E-2</v>
      </c>
    </row>
    <row r="3" spans="1:14" ht="14.5">
      <c r="A3" s="76" t="str">
        <f>IF('Time Entry'!$D$7="","",'Time Entry'!$D$7)</f>
        <v>Matthew Burgess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Entry'!$M$10="","",'Time Entry'!$M$10)</f>
        <v>44799</v>
      </c>
      <c r="E3" s="83" t="str">
        <f>IF('Time Entry'!$B$11="","",'Time Entry'!$B$11)</f>
        <v/>
      </c>
      <c r="F3" s="83" t="str">
        <f>IF('Time Entry'!C$11="","",'Time Entry'!C$11)</f>
        <v>CB</v>
      </c>
      <c r="G3" s="83" t="str">
        <f>IF('Time Entry'!D$11="","",'Time Entry'!D$11)</f>
        <v>Claire's - General Transportation</v>
      </c>
      <c r="H3" s="83" t="str">
        <f>IF('Time Entry'!E$11="","",'Time Entry'!E$11)</f>
        <v>CLR-001-BD</v>
      </c>
      <c r="I3" s="83">
        <f>IF('Time Entry'!$M$11="","",'Time Entry'!$M$11)</f>
        <v>0.5</v>
      </c>
      <c r="J3" s="83" t="str">
        <f>IF('Time Entry'!$F$11="","",'Time Entry'!$F$11)</f>
        <v/>
      </c>
      <c r="K3" s="77">
        <f>IF(I3="","",(IF(AND(WEEKDAY(D3)&gt;1,WEEKDAY(D3)&lt;7),(IF(I3="","",(IF(I3&gt;8,8,I3)))),0)))</f>
        <v>0.5</v>
      </c>
      <c r="L3" s="88">
        <f t="shared" si="0"/>
        <v>6.25E-2</v>
      </c>
      <c r="M3" s="89">
        <f t="shared" si="1"/>
        <v>0.66666666666666663</v>
      </c>
      <c r="N3" s="90">
        <f t="shared" ref="N3:N66" si="2">IF(I3="","",(M3/8))</f>
        <v>8.3333333333333329E-2</v>
      </c>
    </row>
    <row r="4" spans="1:14" ht="14.5">
      <c r="A4" s="76" t="str">
        <f>IF('Time Entry'!$D$7="","",'Time Entry'!$D$7)</f>
        <v>Matthew Burgess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Entry'!$L$10="","",'Time Entry'!$L$10)</f>
        <v>44798</v>
      </c>
      <c r="E4" s="83" t="str">
        <f>IF('Time Entry'!$B$14="","",'Time Entry'!$B$14)</f>
        <v/>
      </c>
      <c r="F4" s="83" t="str">
        <f>IF('Time Entry'!C$14="","",'Time Entry'!C$14)</f>
        <v>LD</v>
      </c>
      <c r="G4" s="83" t="str">
        <f>IF('Time Entry'!D$14="","",'Time Entry'!D$14)</f>
        <v>Training - Developing</v>
      </c>
      <c r="H4" s="83" t="str">
        <f>IF('Time Entry'!E$14="","",'Time Entry'!E$14)</f>
        <v>IMP-004-ID</v>
      </c>
      <c r="I4" s="83">
        <f>IF('Time Entry'!$L$14="","",'Time Entry'!$L$14)</f>
        <v>0.5</v>
      </c>
      <c r="J4" s="83" t="str">
        <f>IF('Time Entry'!$F$14="","",'Time Entry'!$F$14)</f>
        <v>Timetracker</v>
      </c>
      <c r="K4" s="77">
        <f>IF(I4="","",(IF(AND(WEEKDAY(D4)&gt;1,WEEKDAY(D4)&lt;7),(IF(I4="","",(IF(I4&gt;8,8,I4)))),0)))</f>
        <v>0.5</v>
      </c>
      <c r="L4" s="88">
        <f t="shared" si="0"/>
        <v>6.25E-2</v>
      </c>
      <c r="M4" s="89">
        <f t="shared" si="1"/>
        <v>0.36363636363636365</v>
      </c>
      <c r="N4" s="90">
        <f t="shared" si="2"/>
        <v>4.5454545454545456E-2</v>
      </c>
    </row>
    <row r="5" spans="1:14" ht="14.5">
      <c r="A5" s="76" t="str">
        <f>IF('Time Entry'!$D$7="","",'Time Entry'!$D$7)</f>
        <v>Matthew Burgess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Entry'!$I$10="","",'Time Entry'!$I$10)</f>
        <v>44795</v>
      </c>
      <c r="E5" s="83" t="str">
        <f>IF('Time Entry'!$B$11="","",'Time Entry'!$B$11)</f>
        <v/>
      </c>
      <c r="F5" s="83" t="str">
        <f>IF('Time Entry'!C$11="","",'Time Entry'!C$11)</f>
        <v>CB</v>
      </c>
      <c r="G5" s="83" t="str">
        <f>IF('Time Entry'!D$11="","",'Time Entry'!D$11)</f>
        <v>Claire's - General Transportation</v>
      </c>
      <c r="H5" s="83" t="str">
        <f>IF('Time Entry'!E$11="","",'Time Entry'!E$11)</f>
        <v>CLR-001-BD</v>
      </c>
      <c r="I5" s="83">
        <f>IF('Time Entry'!$I$11="","",'Time Entry'!$I$11)</f>
        <v>0.5</v>
      </c>
      <c r="J5" s="83" t="str">
        <f>IF('Time Entry'!$F$11="","",'Time Entry'!$F$11)</f>
        <v/>
      </c>
      <c r="K5" s="77">
        <f>IF(I5="","",(IF(AND(WEEKDAY(D5)&gt;1,WEEKDAY(D5)&lt;7),(IF(I5="","",(IF(I5&gt;8,8,I5)))),0)))</f>
        <v>0.5</v>
      </c>
      <c r="L5" s="88">
        <f t="shared" si="0"/>
        <v>6.25E-2</v>
      </c>
      <c r="M5" s="89">
        <f t="shared" si="1"/>
        <v>0.36363636363636365</v>
      </c>
      <c r="N5" s="90">
        <f t="shared" si="2"/>
        <v>4.5454545454545456E-2</v>
      </c>
    </row>
    <row r="6" spans="1:14" ht="14.5">
      <c r="A6" s="76" t="str">
        <f>IF('Time Entry'!$D$7="","",'Time Entry'!$D$7)</f>
        <v>Matthew Burgess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Entry'!$M$10="","",'Time Entry'!$M$10)</f>
        <v>44799</v>
      </c>
      <c r="E6" s="83" t="str">
        <f>IF('Time Entry'!$B$14="","",'Time Entry'!$B$14)</f>
        <v/>
      </c>
      <c r="F6" s="83" t="str">
        <f>IF('Time Entry'!C$14="","",'Time Entry'!C$14)</f>
        <v>LD</v>
      </c>
      <c r="G6" s="83" t="str">
        <f>IF('Time Entry'!D$14="","",'Time Entry'!D$14)</f>
        <v>Training - Developing</v>
      </c>
      <c r="H6" s="83" t="str">
        <f>IF('Time Entry'!E$14="","",'Time Entry'!E$14)</f>
        <v>IMP-004-ID</v>
      </c>
      <c r="I6" s="83">
        <f>IF('Time Entry'!$M$14="","",'Time Entry'!$M$14)</f>
        <v>0.5</v>
      </c>
      <c r="J6" s="83" t="str">
        <f>IF('Time Entry'!$F$14="","",'Time Entry'!$F$14)</f>
        <v>Timetracker</v>
      </c>
      <c r="K6" s="77">
        <f>IF(I6="","",(IF(AND(WEEKDAY(D6)&gt;1,WEEKDAY(D6)&lt;7),(IF(I6="","",(IF(I6&gt;8,8,I6)))),0)))</f>
        <v>0.5</v>
      </c>
      <c r="L6" s="88">
        <f t="shared" si="0"/>
        <v>6.25E-2</v>
      </c>
      <c r="M6" s="89">
        <f t="shared" si="1"/>
        <v>0.66666666666666663</v>
      </c>
      <c r="N6" s="90">
        <f t="shared" si="2"/>
        <v>8.3333333333333329E-2</v>
      </c>
    </row>
    <row r="7" spans="1:14" ht="14.5">
      <c r="A7" s="76" t="str">
        <f>IF('Time Entry'!$D$7="","",'Time Entry'!$D$7)</f>
        <v>Matthew Burgess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Entry'!$J$10="","",'Time Entry'!$J$10)</f>
        <v>44796</v>
      </c>
      <c r="E7" s="83" t="str">
        <f>IF('Time Entry'!$B$13="","",'Time Entry'!$B$13)</f>
        <v/>
      </c>
      <c r="F7" s="83" t="str">
        <f>IF('Time Entry'!C$13="","",'Time Entry'!C$13)</f>
        <v>LD</v>
      </c>
      <c r="G7" s="83" t="str">
        <f>IF('Time Entry'!D$13="","",'Time Entry'!D$13)</f>
        <v>Miscellaneous</v>
      </c>
      <c r="H7" s="83" t="str">
        <f>IF('Time Entry'!E$13="","",'Time Entry'!E$13)</f>
        <v>COE-015-LD</v>
      </c>
      <c r="I7" s="83">
        <f>IF('Time Entry'!$J$13="","",'Time Entry'!$J$13)</f>
        <v>1</v>
      </c>
      <c r="J7" s="83" t="str">
        <f>IF('Time Entry'!$F$13="","",'Time Entry'!$F$13)</f>
        <v>Emails / Touchpoints / Misc. Calls</v>
      </c>
      <c r="K7" s="77">
        <f>IF(I7="","",(IF(AND(WEEKDAY(D7)&gt;1,WEEKDAY(D7)&lt;7),(IF(I7="","",(IF(I7&gt;8,8,I7)))),0)))</f>
        <v>1</v>
      </c>
      <c r="L7" s="88">
        <f t="shared" si="0"/>
        <v>0.125</v>
      </c>
      <c r="M7" s="89">
        <f t="shared" si="1"/>
        <v>0.88888888888888884</v>
      </c>
      <c r="N7" s="90">
        <f t="shared" si="2"/>
        <v>0.1111111111111111</v>
      </c>
    </row>
    <row r="8" spans="1:14" ht="14.5">
      <c r="A8" s="76" t="str">
        <f>IF('Time Entry'!$D$7="","",'Time Entry'!$D$7)</f>
        <v>Matthew Burgess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Entry'!$M$10="","",'Time Entry'!$M$10)</f>
        <v>44799</v>
      </c>
      <c r="E8" s="83" t="str">
        <f>IF('Time Entry'!$B$13="","",'Time Entry'!$B$13)</f>
        <v/>
      </c>
      <c r="F8" s="83" t="str">
        <f>IF('Time Entry'!C$13="","",'Time Entry'!C$13)</f>
        <v>LD</v>
      </c>
      <c r="G8" s="83" t="str">
        <f>IF('Time Entry'!D$13="","",'Time Entry'!D$13)</f>
        <v>Miscellaneous</v>
      </c>
      <c r="H8" s="83" t="str">
        <f>IF('Time Entry'!E$13="","",'Time Entry'!E$13)</f>
        <v>COE-015-LD</v>
      </c>
      <c r="I8" s="83">
        <f>IF('Time Entry'!$M$13="","",'Time Entry'!$M$13)</f>
        <v>1</v>
      </c>
      <c r="J8" s="83" t="str">
        <f>IF('Time Entry'!$F$13="","",'Time Entry'!$F$13)</f>
        <v>Emails / Touchpoints / Misc. Calls</v>
      </c>
      <c r="K8" s="77">
        <f>IF(I8="","",(IF(AND(WEEKDAY(D8)&gt;1,WEEKDAY(D8)&lt;7),(IF(I8="","",(IF(I8&gt;8,8,I8)))),0)))</f>
        <v>1</v>
      </c>
      <c r="L8" s="88">
        <f t="shared" si="0"/>
        <v>0.125</v>
      </c>
      <c r="M8" s="89">
        <f t="shared" si="1"/>
        <v>1.3333333333333333</v>
      </c>
      <c r="N8" s="90">
        <f t="shared" si="2"/>
        <v>0.16666666666666666</v>
      </c>
    </row>
    <row r="9" spans="1:14" ht="14.5">
      <c r="A9" s="76" t="str">
        <f>IF('Time Entry'!$D$7="","",'Time Entry'!$D$7)</f>
        <v>Matthew Burgess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Entry'!$L$10="","",'Time Entry'!$L$10)</f>
        <v>44798</v>
      </c>
      <c r="E9" s="83" t="str">
        <f>IF('Time Entry'!$B$13="","",'Time Entry'!$B$13)</f>
        <v/>
      </c>
      <c r="F9" s="83" t="str">
        <f>IF('Time Entry'!C$13="","",'Time Entry'!C$13)</f>
        <v>LD</v>
      </c>
      <c r="G9" s="83" t="str">
        <f>IF('Time Entry'!D$13="","",'Time Entry'!D$13)</f>
        <v>Miscellaneous</v>
      </c>
      <c r="H9" s="83" t="str">
        <f>IF('Time Entry'!E$13="","",'Time Entry'!E$13)</f>
        <v>COE-015-LD</v>
      </c>
      <c r="I9" s="83">
        <f>IF('Time Entry'!$L$13="","",'Time Entry'!$L$13)</f>
        <v>1</v>
      </c>
      <c r="J9" s="83" t="str">
        <f>IF('Time Entry'!$F$13="","",'Time Entry'!$F$13)</f>
        <v>Emails / Touchpoints / Misc. Calls</v>
      </c>
      <c r="K9" s="77">
        <f>IF(I9="","",(IF(AND(WEEKDAY(D9)&gt;1,WEEKDAY(D9)&lt;7),(IF(I9="","",(IF(I9&gt;8,8,I9)))),0)))</f>
        <v>1</v>
      </c>
      <c r="L9" s="88">
        <f t="shared" si="0"/>
        <v>0.125</v>
      </c>
      <c r="M9" s="89">
        <f t="shared" si="1"/>
        <v>0.72727272727272729</v>
      </c>
      <c r="N9" s="90">
        <f t="shared" si="2"/>
        <v>9.0909090909090912E-2</v>
      </c>
    </row>
    <row r="10" spans="1:14" ht="14.5">
      <c r="A10" s="76" t="str">
        <f>IF('Time Entry'!$D$7="","",'Time Entry'!$D$7)</f>
        <v>Matthew Burgess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Entry'!$L$10="","",'Time Entry'!$L$10)</f>
        <v>44798</v>
      </c>
      <c r="E10" s="83">
        <f>IF('Time Entry'!$B$16="","",'Time Entry'!$B$16)</f>
        <v>1</v>
      </c>
      <c r="F10" s="83" t="str">
        <f>IF('Time Entry'!C$16="","",'Time Entry'!C$16)</f>
        <v>ID</v>
      </c>
      <c r="G10" s="83" t="str">
        <f>IF('Time Entry'!D$16="","",'Time Entry'!D$16)</f>
        <v>WIN</v>
      </c>
      <c r="H10" s="83" t="str">
        <f>IF('Time Entry'!E$16="","",'Time Entry'!E$16)</f>
        <v>IMP-014-ID</v>
      </c>
      <c r="I10" s="83">
        <f>IF('Time Entry'!$L$16="","",'Time Entry'!$L$16)</f>
        <v>1</v>
      </c>
      <c r="J10" s="83" t="str">
        <f>IF('Time Entry'!$F$16="","",'Time Entry'!$F$16)</f>
        <v>WIN Speaker Series</v>
      </c>
      <c r="K10" s="77">
        <f>IF(I10="","",(IF(AND(WEEKDAY(D10)&gt;1,WEEKDAY(D10)&lt;7),(IF(I10="","",(IF(I10&gt;8,8,I10)))),0)))</f>
        <v>1</v>
      </c>
      <c r="L10" s="88">
        <f t="shared" si="0"/>
        <v>0.125</v>
      </c>
      <c r="M10" s="89">
        <f t="shared" si="1"/>
        <v>0.72727272727272729</v>
      </c>
      <c r="N10" s="90">
        <f t="shared" si="2"/>
        <v>9.0909090909090912E-2</v>
      </c>
    </row>
    <row r="11" spans="1:14" ht="14.5">
      <c r="A11" s="76" t="str">
        <f>IF('Time Entry'!$D$7="","",'Time Entry'!$D$7)</f>
        <v>Matthew Burgess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Entry'!$L$10="","",'Time Entry'!$L$10)</f>
        <v>44798</v>
      </c>
      <c r="E11" s="83">
        <f>IF('Time Entry'!$B$17="","",'Time Entry'!$B$17)</f>
        <v>2</v>
      </c>
      <c r="F11" s="83" t="str">
        <f>IF('Time Entry'!C$17="","",'Time Entry'!C$17)</f>
        <v>LD</v>
      </c>
      <c r="G11" s="83" t="str">
        <f>IF('Time Entry'!D$17="","",'Time Entry'!D$17)</f>
        <v>Jaggaer Build</v>
      </c>
      <c r="H11" s="83" t="str">
        <f>IF('Time Entry'!E$17="","",'Time Entry'!E$17)</f>
        <v>COE-017-LD</v>
      </c>
      <c r="I11" s="83">
        <f>IF('Time Entry'!$L$17="","",'Time Entry'!$L$17)</f>
        <v>1</v>
      </c>
      <c r="J11" s="83" t="str">
        <f>IF('Time Entry'!$F$17="","",'Time Entry'!$F$17)</f>
        <v>Jaggaer Training - RET</v>
      </c>
      <c r="K11" s="77">
        <f>IF(I11="","",(IF(AND(WEEKDAY(D11)&gt;1,WEEKDAY(D11)&lt;7),(IF(I11="","",(IF(I11&gt;8,8,I11)))),0)))</f>
        <v>1</v>
      </c>
      <c r="L11" s="88">
        <f t="shared" si="0"/>
        <v>0.125</v>
      </c>
      <c r="M11" s="89">
        <f t="shared" si="1"/>
        <v>0.72727272727272729</v>
      </c>
      <c r="N11" s="90">
        <f t="shared" si="2"/>
        <v>9.0909090909090912E-2</v>
      </c>
    </row>
    <row r="12" spans="1:14" ht="14.5">
      <c r="A12" s="76" t="str">
        <f>IF('Time Entry'!$D$7="","",'Time Entry'!$D$7)</f>
        <v>Matthew Burgess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Entry'!$M$10="","",'Time Entry'!$M$10)</f>
        <v>44799</v>
      </c>
      <c r="E12" s="83">
        <f>IF('Time Entry'!$B$17="","",'Time Entry'!$B$17)</f>
        <v>2</v>
      </c>
      <c r="F12" s="83" t="str">
        <f>IF('Time Entry'!C$17="","",'Time Entry'!C$17)</f>
        <v>LD</v>
      </c>
      <c r="G12" s="83" t="str">
        <f>IF('Time Entry'!D$17="","",'Time Entry'!D$17)</f>
        <v>Jaggaer Build</v>
      </c>
      <c r="H12" s="83" t="str">
        <f>IF('Time Entry'!E$17="","",'Time Entry'!E$17)</f>
        <v>COE-017-LD</v>
      </c>
      <c r="I12" s="83">
        <f>IF('Time Entry'!$M$17="","",'Time Entry'!$M$17)</f>
        <v>1</v>
      </c>
      <c r="J12" s="83" t="str">
        <f>IF('Time Entry'!$F$17="","",'Time Entry'!$F$17)</f>
        <v>Jaggaer Training - RET</v>
      </c>
      <c r="K12" s="77">
        <f>IF(I12="","",(IF(AND(WEEKDAY(D12)&gt;1,WEEKDAY(D12)&lt;7),(IF(I12="","",(IF(I12&gt;8,8,I12)))),0)))</f>
        <v>1</v>
      </c>
      <c r="L12" s="88">
        <f t="shared" si="0"/>
        <v>0.125</v>
      </c>
      <c r="M12" s="89">
        <f t="shared" si="1"/>
        <v>1.3333333333333333</v>
      </c>
      <c r="N12" s="90">
        <f t="shared" si="2"/>
        <v>0.16666666666666666</v>
      </c>
    </row>
    <row r="13" spans="1:14" ht="14.5">
      <c r="A13" s="76" t="str">
        <f>IF('Time Entry'!$D$7="","",'Time Entry'!$D$7)</f>
        <v>Matthew Burgess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Entry'!$K$10="","",'Time Entry'!$K$10)</f>
        <v>44797</v>
      </c>
      <c r="E13" s="83" t="str">
        <f>IF('Time Entry'!$B$11="","",'Time Entry'!$B$11)</f>
        <v/>
      </c>
      <c r="F13" s="83" t="str">
        <f>IF('Time Entry'!C$11="","",'Time Entry'!C$11)</f>
        <v>CB</v>
      </c>
      <c r="G13" s="83" t="str">
        <f>IF('Time Entry'!D$11="","",'Time Entry'!D$11)</f>
        <v>Claire's - General Transportation</v>
      </c>
      <c r="H13" s="83" t="str">
        <f>IF('Time Entry'!E$11="","",'Time Entry'!E$11)</f>
        <v>CLR-001-BD</v>
      </c>
      <c r="I13" s="83">
        <f>IF('Time Entry'!$K$11="","",'Time Entry'!$K$11)</f>
        <v>1.5</v>
      </c>
      <c r="J13" s="83" t="str">
        <f>IF('Time Entry'!$F$11="","",'Time Entry'!$F$11)</f>
        <v/>
      </c>
      <c r="K13" s="77">
        <f>IF(I13="","",(IF(AND(WEEKDAY(D13)&gt;1,WEEKDAY(D13)&lt;7),(IF(I13="","",(IF(I13&gt;8,8,I13)))),0)))</f>
        <v>1.5</v>
      </c>
      <c r="L13" s="88">
        <f t="shared" si="0"/>
        <v>0.1875</v>
      </c>
      <c r="M13" s="89">
        <f t="shared" si="1"/>
        <v>1.0434782608695652</v>
      </c>
      <c r="N13" s="90">
        <f t="shared" si="2"/>
        <v>0.13043478260869565</v>
      </c>
    </row>
    <row r="14" spans="1:14" ht="14.5">
      <c r="A14" s="76" t="str">
        <f>IF('Time Entry'!$D$7="","",'Time Entry'!$D$7)</f>
        <v>Matthew Burgess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Entry'!$L$10="","",'Time Entry'!$L$10)</f>
        <v>44798</v>
      </c>
      <c r="E14" s="83" t="str">
        <f>IF('Time Entry'!$B$11="","",'Time Entry'!$B$11)</f>
        <v/>
      </c>
      <c r="F14" s="83" t="str">
        <f>IF('Time Entry'!C$11="","",'Time Entry'!C$11)</f>
        <v>CB</v>
      </c>
      <c r="G14" s="83" t="str">
        <f>IF('Time Entry'!D$11="","",'Time Entry'!D$11)</f>
        <v>Claire's - General Transportation</v>
      </c>
      <c r="H14" s="83" t="str">
        <f>IF('Time Entry'!E$11="","",'Time Entry'!E$11)</f>
        <v>CLR-001-BD</v>
      </c>
      <c r="I14" s="83">
        <f>IF('Time Entry'!$L$11="","",'Time Entry'!$L$11)</f>
        <v>1.5</v>
      </c>
      <c r="J14" s="83" t="str">
        <f>IF('Time Entry'!$F$11="","",'Time Entry'!$F$11)</f>
        <v/>
      </c>
      <c r="K14" s="77">
        <f>IF(I14="","",(IF(AND(WEEKDAY(D14)&gt;1,WEEKDAY(D14)&lt;7),(IF(I14="","",(IF(I14&gt;8,8,I14)))),0)))</f>
        <v>1.5</v>
      </c>
      <c r="L14" s="88">
        <f t="shared" si="0"/>
        <v>0.1875</v>
      </c>
      <c r="M14" s="89">
        <f t="shared" si="1"/>
        <v>1.0909090909090908</v>
      </c>
      <c r="N14" s="90">
        <f t="shared" si="2"/>
        <v>0.13636363636363635</v>
      </c>
    </row>
    <row r="15" spans="1:14" ht="14.5">
      <c r="A15" s="76" t="str">
        <f>IF('Time Entry'!$D$7="","",'Time Entry'!$D$7)</f>
        <v>Matthew Burgess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Entry'!$I$10="","",'Time Entry'!$I$10)</f>
        <v>44795</v>
      </c>
      <c r="E15" s="83" t="str">
        <f>IF('Time Entry'!$B$13="","",'Time Entry'!$B$13)</f>
        <v/>
      </c>
      <c r="F15" s="83" t="str">
        <f>IF('Time Entry'!C$13="","",'Time Entry'!C$13)</f>
        <v>LD</v>
      </c>
      <c r="G15" s="83" t="str">
        <f>IF('Time Entry'!D$13="","",'Time Entry'!D$13)</f>
        <v>Miscellaneous</v>
      </c>
      <c r="H15" s="83" t="str">
        <f>IF('Time Entry'!E$13="","",'Time Entry'!E$13)</f>
        <v>COE-015-LD</v>
      </c>
      <c r="I15" s="83">
        <f>IF('Time Entry'!$I$13="","",'Time Entry'!$I$13)</f>
        <v>2</v>
      </c>
      <c r="J15" s="83" t="str">
        <f>IF('Time Entry'!$F$13="","",'Time Entry'!$F$13)</f>
        <v>Emails / Touchpoints / Misc. Calls</v>
      </c>
      <c r="K15" s="77">
        <f>IF(I15="","",(IF(AND(WEEKDAY(D15)&gt;1,WEEKDAY(D15)&lt;7),(IF(I15="","",(IF(I15&gt;8,8,I15)))),0)))</f>
        <v>2</v>
      </c>
      <c r="L15" s="88">
        <f t="shared" si="0"/>
        <v>0.25</v>
      </c>
      <c r="M15" s="89">
        <f t="shared" si="1"/>
        <v>1.4545454545454546</v>
      </c>
      <c r="N15" s="90">
        <f t="shared" si="2"/>
        <v>0.18181818181818182</v>
      </c>
    </row>
    <row r="16" spans="1:14" ht="14.5">
      <c r="A16" s="76" t="str">
        <f>IF('Time Entry'!$D$7="","",'Time Entry'!$D$7)</f>
        <v>Matthew Burgess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Entry'!$K$10="","",'Time Entry'!$K$10)</f>
        <v>44797</v>
      </c>
      <c r="E16" s="83" t="str">
        <f>IF('Time Entry'!$B$13="","",'Time Entry'!$B$13)</f>
        <v/>
      </c>
      <c r="F16" s="83" t="str">
        <f>IF('Time Entry'!C$13="","",'Time Entry'!C$13)</f>
        <v>LD</v>
      </c>
      <c r="G16" s="83" t="str">
        <f>IF('Time Entry'!D$13="","",'Time Entry'!D$13)</f>
        <v>Miscellaneous</v>
      </c>
      <c r="H16" s="83" t="str">
        <f>IF('Time Entry'!E$13="","",'Time Entry'!E$13)</f>
        <v>COE-015-LD</v>
      </c>
      <c r="I16" s="83">
        <f>IF('Time Entry'!$K$13="","",'Time Entry'!$K$13)</f>
        <v>2</v>
      </c>
      <c r="J16" s="83" t="str">
        <f>IF('Time Entry'!$F$13="","",'Time Entry'!$F$13)</f>
        <v>Emails / Touchpoints / Misc. Calls</v>
      </c>
      <c r="K16" s="77">
        <f>IF(I16="","",(IF(AND(WEEKDAY(D16)&gt;1,WEEKDAY(D16)&lt;7),(IF(I16="","",(IF(I16&gt;8,8,I16)))),0)))</f>
        <v>2</v>
      </c>
      <c r="L16" s="88">
        <f t="shared" si="0"/>
        <v>0.25</v>
      </c>
      <c r="M16" s="91">
        <f t="shared" si="1"/>
        <v>1.3913043478260869</v>
      </c>
      <c r="N16" s="92">
        <f t="shared" si="2"/>
        <v>0.17391304347826086</v>
      </c>
    </row>
    <row r="17" spans="1:14" ht="14.5">
      <c r="A17" s="76" t="str">
        <f>IF('Time Entry'!$D$7="","",'Time Entry'!$D$7)</f>
        <v>Matthew Burgess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Entry'!$M$10="","",'Time Entry'!$M$10)</f>
        <v>44799</v>
      </c>
      <c r="E17" s="83" t="str">
        <f>IF('Time Entry'!$B$12="","",'Time Entry'!$B$12)</f>
        <v/>
      </c>
      <c r="F17" s="83" t="str">
        <f>IF('Time Entry'!C$12="","",'Time Entry'!C$12)</f>
        <v>CB</v>
      </c>
      <c r="G17" s="83" t="str">
        <f>IF('Time Entry'!D$12="","",'Time Entry'!D$12)</f>
        <v>Broadridge - Small Parcel Sourcing</v>
      </c>
      <c r="H17" s="83" t="str">
        <f>IF('Time Entry'!E$12="","",'Time Entry'!E$12)</f>
        <v>BRD-001-CB</v>
      </c>
      <c r="I17" s="83">
        <f>IF('Time Entry'!$M$12="","",'Time Entry'!$M$12)</f>
        <v>3</v>
      </c>
      <c r="J17" s="83" t="str">
        <f>IF('Time Entry'!$F$12="","",'Time Entry'!$F$12)</f>
        <v/>
      </c>
      <c r="K17" s="77">
        <f>IF(I17="","",(IF(AND(WEEKDAY(D17)&gt;1,WEEKDAY(D17)&lt;7),(IF(I17="","",(IF(I17&gt;8,8,I17)))),0)))</f>
        <v>3</v>
      </c>
      <c r="L17" s="88">
        <f t="shared" si="0"/>
        <v>0.375</v>
      </c>
      <c r="M17" s="91">
        <f t="shared" si="1"/>
        <v>4</v>
      </c>
      <c r="N17" s="92">
        <f t="shared" si="2"/>
        <v>0.5</v>
      </c>
    </row>
    <row r="18" spans="1:14" ht="14.5">
      <c r="A18" s="76" t="str">
        <f>IF('Time Entry'!$D$7="","",'Time Entry'!$D$7)</f>
        <v>Matthew Burgess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Entry'!$G$10="","",'Time Entry'!$G$10)</f>
        <v>44793</v>
      </c>
      <c r="E18" s="83" t="str">
        <f>IF('Time Entry'!$B$12="","",'Time Entry'!$B$12)</f>
        <v/>
      </c>
      <c r="F18" s="83" t="str">
        <f>IF('Time Entry'!C$12="","",'Time Entry'!C$12)</f>
        <v>CB</v>
      </c>
      <c r="G18" s="83" t="str">
        <f>IF('Time Entry'!D$12="","",'Time Entry'!D$12)</f>
        <v>Broadridge - Small Parcel Sourcing</v>
      </c>
      <c r="H18" s="83" t="str">
        <f>IF('Time Entry'!E$12="","",'Time Entry'!E$12)</f>
        <v>BRD-001-CB</v>
      </c>
      <c r="I18" s="83">
        <f>IF('Time Entry'!$G$12="","",'Time Entry'!$G$12)</f>
        <v>4</v>
      </c>
      <c r="J18" s="83" t="str">
        <f>IF('Time Entry'!$F$12="","",'Time Entry'!$F$12)</f>
        <v/>
      </c>
      <c r="K18" s="77">
        <f>IF(I18="","",(IF(AND(WEEKDAY(D18)&gt;1,WEEKDAY(D18)&lt;7),(IF(I18="","",(IF(I18&gt;8,8,I18)))),0)))</f>
        <v>0</v>
      </c>
      <c r="L18" s="88">
        <f t="shared" si="0"/>
        <v>0</v>
      </c>
      <c r="M18" s="91">
        <f t="shared" si="1"/>
        <v>0</v>
      </c>
      <c r="N18" s="92">
        <f t="shared" si="2"/>
        <v>0</v>
      </c>
    </row>
    <row r="19" spans="1:14" ht="14.5">
      <c r="A19" s="76" t="str">
        <f>IF('Time Entry'!$D$7="","",'Time Entry'!$D$7)</f>
        <v>Matthew Burgess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Entry'!$L$10="","",'Time Entry'!$L$10)</f>
        <v>44798</v>
      </c>
      <c r="E19" s="83" t="str">
        <f>IF('Time Entry'!$B$12="","",'Time Entry'!$B$12)</f>
        <v/>
      </c>
      <c r="F19" s="83" t="str">
        <f>IF('Time Entry'!C$12="","",'Time Entry'!C$12)</f>
        <v>CB</v>
      </c>
      <c r="G19" s="83" t="str">
        <f>IF('Time Entry'!D$12="","",'Time Entry'!D$12)</f>
        <v>Broadridge - Small Parcel Sourcing</v>
      </c>
      <c r="H19" s="83" t="str">
        <f>IF('Time Entry'!E$12="","",'Time Entry'!E$12)</f>
        <v>BRD-001-CB</v>
      </c>
      <c r="I19" s="83">
        <f>IF('Time Entry'!$L$12="","",'Time Entry'!$L$12)</f>
        <v>6</v>
      </c>
      <c r="J19" s="83" t="str">
        <f>IF('Time Entry'!$F$12="","",'Time Entry'!$F$12)</f>
        <v/>
      </c>
      <c r="K19" s="77">
        <f>IF(I19="","",(IF(AND(WEEKDAY(D19)&gt;1,WEEKDAY(D19)&lt;7),(IF(I19="","",(IF(I19&gt;8,8,I19)))),0)))</f>
        <v>6</v>
      </c>
      <c r="L19" s="88">
        <f t="shared" si="0"/>
        <v>0.75</v>
      </c>
      <c r="M19" s="91">
        <f t="shared" si="1"/>
        <v>4.3636363636363633</v>
      </c>
      <c r="N19" s="92">
        <f t="shared" si="2"/>
        <v>0.54545454545454541</v>
      </c>
    </row>
    <row r="20" spans="1:14" ht="14.5">
      <c r="A20" s="76" t="str">
        <f>IF('Time Entry'!$D$7="","",'Time Entry'!$D$7)</f>
        <v>Matthew Burgess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Entry'!$H$10="","",'Time Entry'!$H$10)</f>
        <v>44794</v>
      </c>
      <c r="E20" s="83" t="str">
        <f>IF('Time Entry'!$B$12="","",'Time Entry'!$B$12)</f>
        <v/>
      </c>
      <c r="F20" s="83" t="str">
        <f>IF('Time Entry'!C$12="","",'Time Entry'!C$12)</f>
        <v>CB</v>
      </c>
      <c r="G20" s="83" t="str">
        <f>IF('Time Entry'!D$12="","",'Time Entry'!D$12)</f>
        <v>Broadridge - Small Parcel Sourcing</v>
      </c>
      <c r="H20" s="83" t="str">
        <f>IF('Time Entry'!E$12="","",'Time Entry'!E$12)</f>
        <v>BRD-001-CB</v>
      </c>
      <c r="I20" s="83">
        <f>IF('Time Entry'!$H$12="","",'Time Entry'!$H$12)</f>
        <v>6.5</v>
      </c>
      <c r="J20" s="83" t="str">
        <f>IF('Time Entry'!$F$12="","",'Time Entry'!$F$12)</f>
        <v/>
      </c>
      <c r="K20" s="77">
        <f>IF(I20="","",(IF(AND(WEEKDAY(D20)&gt;1,WEEKDAY(D20)&lt;7),(IF(I20="","",(IF(I20&gt;8,8,I20)))),0)))</f>
        <v>0</v>
      </c>
      <c r="L20" s="88">
        <f t="shared" si="0"/>
        <v>0</v>
      </c>
      <c r="M20" s="91">
        <f t="shared" si="1"/>
        <v>0</v>
      </c>
      <c r="N20" s="92">
        <f t="shared" si="2"/>
        <v>0</v>
      </c>
    </row>
    <row r="21" spans="1:14" ht="14.5">
      <c r="A21" s="76" t="str">
        <f>IF('Time Entry'!$D$7="","",'Time Entry'!$D$7)</f>
        <v>Matthew Burgess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Entry'!$K$10="","",'Time Entry'!$K$10)</f>
        <v>44797</v>
      </c>
      <c r="E21" s="83" t="str">
        <f>IF('Time Entry'!$B$12="","",'Time Entry'!$B$12)</f>
        <v/>
      </c>
      <c r="F21" s="83" t="str">
        <f>IF('Time Entry'!C$12="","",'Time Entry'!C$12)</f>
        <v>CB</v>
      </c>
      <c r="G21" s="83" t="str">
        <f>IF('Time Entry'!D$12="","",'Time Entry'!D$12)</f>
        <v>Broadridge - Small Parcel Sourcing</v>
      </c>
      <c r="H21" s="83" t="str">
        <f>IF('Time Entry'!E$12="","",'Time Entry'!E$12)</f>
        <v>BRD-001-CB</v>
      </c>
      <c r="I21" s="83">
        <f>IF('Time Entry'!$K$12="","",'Time Entry'!$K$12)</f>
        <v>8</v>
      </c>
      <c r="J21" s="83" t="str">
        <f>IF('Time Entry'!$F$12="","",'Time Entry'!$F$12)</f>
        <v/>
      </c>
      <c r="K21" s="77">
        <f>IF(I21="","",(IF(AND(WEEKDAY(D21)&gt;1,WEEKDAY(D21)&lt;7),(IF(I21="","",(IF(I21&gt;8,8,I21)))),0)))</f>
        <v>8</v>
      </c>
      <c r="L21" s="88">
        <f t="shared" si="0"/>
        <v>1</v>
      </c>
      <c r="M21" s="91">
        <f t="shared" si="1"/>
        <v>5.5652173913043477</v>
      </c>
      <c r="N21" s="92">
        <f t="shared" si="2"/>
        <v>0.69565217391304346</v>
      </c>
    </row>
    <row r="22" spans="1:14" ht="14.5">
      <c r="A22" s="76" t="str">
        <f>IF('Time Entry'!$D$7="","",'Time Entry'!$D$7)</f>
        <v>Matthew Burgess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Entry'!$J$10="","",'Time Entry'!$J$10)</f>
        <v>44796</v>
      </c>
      <c r="E22" s="83" t="str">
        <f>IF('Time Entry'!$B$12="","",'Time Entry'!$B$12)</f>
        <v/>
      </c>
      <c r="F22" s="83" t="str">
        <f>IF('Time Entry'!C$12="","",'Time Entry'!C$12)</f>
        <v>CB</v>
      </c>
      <c r="G22" s="83" t="str">
        <f>IF('Time Entry'!D$12="","",'Time Entry'!D$12)</f>
        <v>Broadridge - Small Parcel Sourcing</v>
      </c>
      <c r="H22" s="83" t="str">
        <f>IF('Time Entry'!E$12="","",'Time Entry'!E$12)</f>
        <v>BRD-001-CB</v>
      </c>
      <c r="I22" s="83">
        <f>IF('Time Entry'!$J$12="","",'Time Entry'!$J$12)</f>
        <v>11</v>
      </c>
      <c r="J22" s="83" t="str">
        <f>IF('Time Entry'!$F$12="","",'Time Entry'!$F$12)</f>
        <v/>
      </c>
      <c r="K22" s="77">
        <f>IF(I22="","",(IF(AND(WEEKDAY(D22)&gt;1,WEEKDAY(D22)&lt;7),(IF(I22="","",(IF(I22&gt;8,8,I22)))),0)))</f>
        <v>8</v>
      </c>
      <c r="L22" s="88">
        <f t="shared" si="0"/>
        <v>1</v>
      </c>
      <c r="M22" s="91">
        <f t="shared" si="1"/>
        <v>7.1111111111111107</v>
      </c>
      <c r="N22" s="92">
        <f t="shared" si="2"/>
        <v>0.88888888888888884</v>
      </c>
    </row>
    <row r="23" spans="1:14" ht="14.5">
      <c r="A23" s="76" t="str">
        <f>IF('Time Entry'!$D$7="","",'Time Entry'!$D$7)</f>
        <v>Matthew Burgess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Entry'!$I$10="","",'Time Entry'!$I$10)</f>
        <v>44795</v>
      </c>
      <c r="E23" s="83" t="str">
        <f>IF('Time Entry'!$B$12="","",'Time Entry'!$B$12)</f>
        <v/>
      </c>
      <c r="F23" s="83" t="str">
        <f>IF('Time Entry'!C$12="","",'Time Entry'!C$12)</f>
        <v>CB</v>
      </c>
      <c r="G23" s="83" t="str">
        <f>IF('Time Entry'!D$12="","",'Time Entry'!D$12)</f>
        <v>Broadridge - Small Parcel Sourcing</v>
      </c>
      <c r="H23" s="83" t="str">
        <f>IF('Time Entry'!E$12="","",'Time Entry'!E$12)</f>
        <v>BRD-001-CB</v>
      </c>
      <c r="I23" s="83">
        <f>IF('Time Entry'!$I$12="","",'Time Entry'!$I$12)</f>
        <v>12</v>
      </c>
      <c r="J23" s="83" t="str">
        <f>IF('Time Entry'!$F$12="","",'Time Entry'!$F$12)</f>
        <v/>
      </c>
      <c r="K23" s="77">
        <f>IF(I23="","",(IF(AND(WEEKDAY(D23)&gt;1,WEEKDAY(D23)&lt;7),(IF(I23="","",(IF(I23&gt;8,8,I23)))),0)))</f>
        <v>8</v>
      </c>
      <c r="L23" s="88">
        <f t="shared" si="0"/>
        <v>1</v>
      </c>
      <c r="M23" s="91">
        <f t="shared" si="1"/>
        <v>5.8181818181818183</v>
      </c>
      <c r="N23" s="92">
        <f t="shared" si="2"/>
        <v>0.72727272727272729</v>
      </c>
    </row>
    <row r="24" spans="1:14" ht="14.5">
      <c r="A24" s="76" t="str">
        <f>IF('Time Entry'!$D$7="","",'Time Entry'!$D$7)</f>
        <v>Matthew Burgess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Entry'!$J$10="","",'Time Entry'!$J$10)</f>
        <v>44796</v>
      </c>
      <c r="E24" s="83" t="str">
        <f>IF('Time Entry'!$B$11="","",'Time Entry'!$B$11)</f>
        <v/>
      </c>
      <c r="F24" s="83" t="str">
        <f>IF('Time Entry'!C$11="","",'Time Entry'!C$11)</f>
        <v>CB</v>
      </c>
      <c r="G24" s="83" t="str">
        <f>IF('Time Entry'!D$11="","",'Time Entry'!D$11)</f>
        <v>Claire's - General Transportation</v>
      </c>
      <c r="H24" s="83" t="str">
        <f>IF('Time Entry'!E$11="","",'Time Entry'!E$11)</f>
        <v>CLR-001-BD</v>
      </c>
      <c r="I24" s="83" t="str">
        <f>IF('Time Entry'!$J$11="","",'Time Entry'!$J$11)</f>
        <v/>
      </c>
      <c r="J24" s="83" t="str">
        <f>IF('Time Entry'!$F$11="","",'Time Entry'!$F$11)</f>
        <v/>
      </c>
      <c r="K24" s="77" t="str">
        <f>IF(I24="","",(IF(AND(WEEKDAY(D24)&gt;1,WEEKDAY(D24)&lt;7),(IF(I24="","",(IF(I24&gt;8,8,I24)))),0)))</f>
        <v/>
      </c>
      <c r="L24" s="88" t="str">
        <f t="shared" si="0"/>
        <v/>
      </c>
      <c r="M24" s="91" t="str">
        <f t="shared" si="1"/>
        <v/>
      </c>
      <c r="N24" s="92" t="str">
        <f t="shared" si="2"/>
        <v/>
      </c>
    </row>
    <row r="25" spans="1:14" ht="14.5">
      <c r="A25" s="76" t="str">
        <f>IF('Time Entry'!$D$7="","",'Time Entry'!$D$7)</f>
        <v>Matthew Burgess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Entry'!$G$10="","",'Time Entry'!$G$10)</f>
        <v>44793</v>
      </c>
      <c r="E25" s="83" t="str">
        <f>IF('Time Entry'!$B$11="","",'Time Entry'!$B$11)</f>
        <v/>
      </c>
      <c r="F25" s="83" t="str">
        <f>IF('Time Entry'!C$11="","",'Time Entry'!C$11)</f>
        <v>CB</v>
      </c>
      <c r="G25" s="83" t="str">
        <f>IF('Time Entry'!D$11="","",'Time Entry'!D$11)</f>
        <v>Claire's - General Transportation</v>
      </c>
      <c r="H25" s="83" t="str">
        <f>IF('Time Entry'!E$11="","",'Time Entry'!E$11)</f>
        <v>CLR-001-BD</v>
      </c>
      <c r="I25" s="83" t="str">
        <f>IF('Time Entry'!$G$11="","",'Time Entry'!$G$11)</f>
        <v/>
      </c>
      <c r="J25" s="83" t="str">
        <f>IF('Time Entry'!$F$11="","",'Time Entry'!$F$11)</f>
        <v/>
      </c>
      <c r="K25" s="77" t="str">
        <f>IF(I25="","",(IF(AND(WEEKDAY(D25)&gt;1,WEEKDAY(D25)&lt;7),(IF(I25="","",(IF(I25&gt;8,8,I25)))),0)))</f>
        <v/>
      </c>
      <c r="L25" s="88" t="str">
        <f t="shared" si="0"/>
        <v/>
      </c>
      <c r="M25" s="91" t="str">
        <f t="shared" si="1"/>
        <v/>
      </c>
      <c r="N25" s="92" t="str">
        <f t="shared" si="2"/>
        <v/>
      </c>
    </row>
    <row r="26" spans="1:14" ht="14.5">
      <c r="A26" s="76" t="str">
        <f>IF('Time Entry'!$D$7="","",'Time Entry'!$D$7)</f>
        <v>Matthew Burgess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Entry'!$K$10="","",'Time Entry'!$K$10)</f>
        <v>44797</v>
      </c>
      <c r="E26" s="83" t="str">
        <f>IF('Time Entry'!$B$15="","",'Time Entry'!$B$15)</f>
        <v/>
      </c>
      <c r="F26" s="83" t="str">
        <f>IF('Time Entry'!C$15="","",'Time Entry'!C$15)</f>
        <v>LD</v>
      </c>
      <c r="G26" s="83" t="str">
        <f>IF('Time Entry'!D$15="","",'Time Entry'!D$15)</f>
        <v>Internal Meetings - Bi-weekly Calls</v>
      </c>
      <c r="H26" s="83" t="str">
        <f>IF('Time Entry'!E$15="","",'Time Entry'!E$15)</f>
        <v>COE-012-LD</v>
      </c>
      <c r="I26" s="83" t="str">
        <f>IF('Time Entry'!$K$15="","",'Time Entry'!$K$15)</f>
        <v/>
      </c>
      <c r="J26" s="83" t="str">
        <f>IF('Time Entry'!$F$15="","",'Time Entry'!$F$15)</f>
        <v/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4.5">
      <c r="A27" s="76" t="str">
        <f>IF('Time Entry'!$D$7="","",'Time Entry'!$D$7)</f>
        <v>Matthew Burgess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Entry'!$L$10="","",'Time Entry'!$L$10)</f>
        <v>44798</v>
      </c>
      <c r="E27" s="83" t="str">
        <f>IF('Time Entry'!$B$15="","",'Time Entry'!$B$15)</f>
        <v/>
      </c>
      <c r="F27" s="83" t="str">
        <f>IF('Time Entry'!C$15="","",'Time Entry'!C$15)</f>
        <v>LD</v>
      </c>
      <c r="G27" s="83" t="str">
        <f>IF('Time Entry'!D$15="","",'Time Entry'!D$15)</f>
        <v>Internal Meetings - Bi-weekly Calls</v>
      </c>
      <c r="H27" s="83" t="str">
        <f>IF('Time Entry'!E$15="","",'Time Entry'!E$15)</f>
        <v>COE-012-LD</v>
      </c>
      <c r="I27" s="83" t="str">
        <f>IF('Time Entry'!$L$15="","",'Time Entry'!$L$15)</f>
        <v/>
      </c>
      <c r="J27" s="83" t="str">
        <f>IF('Time Entry'!$F$15="","",'Time Entry'!$F$15)</f>
        <v/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4.5">
      <c r="A28" s="76" t="str">
        <f>IF('Time Entry'!$D$7="","",'Time Entry'!$D$7)</f>
        <v>Matthew Burgess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Entry'!$M$10="","",'Time Entry'!$M$10)</f>
        <v>44799</v>
      </c>
      <c r="E28" s="83">
        <f>IF('Time Entry'!$B$16="","",'Time Entry'!$B$16)</f>
        <v>1</v>
      </c>
      <c r="F28" s="83" t="str">
        <f>IF('Time Entry'!C$16="","",'Time Entry'!C$16)</f>
        <v>ID</v>
      </c>
      <c r="G28" s="83" t="str">
        <f>IF('Time Entry'!D$16="","",'Time Entry'!D$16)</f>
        <v>WIN</v>
      </c>
      <c r="H28" s="83" t="str">
        <f>IF('Time Entry'!E$16="","",'Time Entry'!E$16)</f>
        <v>IMP-014-ID</v>
      </c>
      <c r="I28" s="83" t="str">
        <f>IF('Time Entry'!$M$16="","",'Time Entry'!$M$16)</f>
        <v/>
      </c>
      <c r="J28" s="83" t="str">
        <f>IF('Time Entry'!$F$16="","",'Time Entry'!$F$16)</f>
        <v>WIN Speaker Series</v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4.5">
      <c r="A29" s="76" t="str">
        <f>IF('Time Entry'!$D$7="","",'Time Entry'!$D$7)</f>
        <v>Matthew Burgess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Entry'!$J$10="","",'Time Entry'!$J$10)</f>
        <v>44796</v>
      </c>
      <c r="E29" s="83" t="str">
        <f>IF('Time Entry'!$B$15="","",'Time Entry'!$B$15)</f>
        <v/>
      </c>
      <c r="F29" s="83" t="str">
        <f>IF('Time Entry'!C$15="","",'Time Entry'!C$15)</f>
        <v>LD</v>
      </c>
      <c r="G29" s="83" t="str">
        <f>IF('Time Entry'!D$15="","",'Time Entry'!D$15)</f>
        <v>Internal Meetings - Bi-weekly Calls</v>
      </c>
      <c r="H29" s="83" t="str">
        <f>IF('Time Entry'!E$15="","",'Time Entry'!E$15)</f>
        <v>COE-012-LD</v>
      </c>
      <c r="I29" s="83" t="str">
        <f>IF('Time Entry'!$J$15="","",'Time Entry'!$J$15)</f>
        <v/>
      </c>
      <c r="J29" s="83" t="str">
        <f>IF('Time Entry'!$F$15="","",'Time Entry'!$F$15)</f>
        <v/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4.5">
      <c r="A30" s="76" t="str">
        <f>IF('Time Entry'!$D$7="","",'Time Entry'!$D$7)</f>
        <v>Matthew Burgess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Entry'!$J$10="","",'Time Entry'!$J$10)</f>
        <v>44796</v>
      </c>
      <c r="E30" s="83">
        <f>IF('Time Entry'!$B$16="","",'Time Entry'!$B$16)</f>
        <v>1</v>
      </c>
      <c r="F30" s="83" t="str">
        <f>IF('Time Entry'!C$16="","",'Time Entry'!C$16)</f>
        <v>ID</v>
      </c>
      <c r="G30" s="83" t="str">
        <f>IF('Time Entry'!D$16="","",'Time Entry'!D$16)</f>
        <v>WIN</v>
      </c>
      <c r="H30" s="83" t="str">
        <f>IF('Time Entry'!E$16="","",'Time Entry'!E$16)</f>
        <v>IMP-014-ID</v>
      </c>
      <c r="I30" s="83" t="str">
        <f>IF('Time Entry'!$J$16="","",'Time Entry'!$J$16)</f>
        <v/>
      </c>
      <c r="J30" s="83" t="str">
        <f>IF('Time Entry'!$F$16="","",'Time Entry'!$F$16)</f>
        <v>WIN Speaker Series</v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4.5">
      <c r="A31" s="76" t="str">
        <f>IF('Time Entry'!$D$7="","",'Time Entry'!$D$7)</f>
        <v>Matthew Burgess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Entry'!$K$10="","",'Time Entry'!$K$10)</f>
        <v>44797</v>
      </c>
      <c r="E31" s="83" t="str">
        <f>IF('Time Entry'!$B$14="","",'Time Entry'!$B$14)</f>
        <v/>
      </c>
      <c r="F31" s="83" t="str">
        <f>IF('Time Entry'!C$14="","",'Time Entry'!C$14)</f>
        <v>LD</v>
      </c>
      <c r="G31" s="83" t="str">
        <f>IF('Time Entry'!D$14="","",'Time Entry'!D$14)</f>
        <v>Training - Developing</v>
      </c>
      <c r="H31" s="83" t="str">
        <f>IF('Time Entry'!E$14="","",'Time Entry'!E$14)</f>
        <v>IMP-004-ID</v>
      </c>
      <c r="I31" s="83" t="str">
        <f>IF('Time Entry'!$K$14="","",'Time Entry'!$K$14)</f>
        <v/>
      </c>
      <c r="J31" s="83" t="str">
        <f>IF('Time Entry'!$F$14="","",'Time Entry'!$F$14)</f>
        <v>Timetracker</v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4.5">
      <c r="A32" s="76" t="str">
        <f>IF('Time Entry'!$D$7="","",'Time Entry'!$D$7)</f>
        <v>Matthew Burgess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Entry'!$H$10="","",'Time Entry'!$H$10)</f>
        <v>44794</v>
      </c>
      <c r="E32" s="83" t="str">
        <f>IF('Time Entry'!$B$11="","",'Time Entry'!$B$11)</f>
        <v/>
      </c>
      <c r="F32" s="83" t="str">
        <f>IF('Time Entry'!C$11="","",'Time Entry'!C$11)</f>
        <v>CB</v>
      </c>
      <c r="G32" s="83" t="str">
        <f>IF('Time Entry'!D$11="","",'Time Entry'!D$11)</f>
        <v>Claire's - General Transportation</v>
      </c>
      <c r="H32" s="83" t="str">
        <f>IF('Time Entry'!E$11="","",'Time Entry'!E$11)</f>
        <v>CLR-001-BD</v>
      </c>
      <c r="I32" s="83" t="str">
        <f>IF('Time Entry'!$H$11="","",'Time Entry'!$H$11)</f>
        <v/>
      </c>
      <c r="J32" s="83" t="str">
        <f>IF('Time Entry'!$F$11="","",'Time Entry'!$F$11)</f>
        <v/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4.5">
      <c r="A33" s="76" t="str">
        <f>IF('Time Entry'!$D$7="","",'Time Entry'!$D$7)</f>
        <v>Matthew Burgess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'Time Entry'!$C$32</f>
        <v>LCOE - PTO - Holiday</v>
      </c>
      <c r="F33" s="83" t="s">
        <v>45</v>
      </c>
      <c r="G33" s="83" t="str">
        <f>'Time Entry'!$C$32</f>
        <v>LCOE - PTO - Holiday</v>
      </c>
      <c r="H33" s="83" t="str">
        <f>'Time Entry'!$E$32</f>
        <v>COE-002-PTO</v>
      </c>
      <c r="I33" s="83" t="str">
        <f>IF('Time Entry'!$G$32="","",'Time Entry'!$G$32)</f>
        <v/>
      </c>
      <c r="J33" s="83" t="str">
        <f>IF('Time Entry'!$F$32="","",'Time Entry'!$F$32)</f>
        <v/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4.5">
      <c r="A34" s="76" t="str">
        <f>IF('Time Entry'!$D$7="","",'Time Entry'!$D$7)</f>
        <v>Matthew Burgess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Entry'!$G$10="","",'Time Entry'!$G$10)</f>
        <v>44793</v>
      </c>
      <c r="E34" s="83" t="str">
        <f>IF('Time Entry'!$B$13="","",'Time Entry'!$B$13)</f>
        <v/>
      </c>
      <c r="F34" s="83" t="str">
        <f>IF('Time Entry'!C$13="","",'Time Entry'!C$13)</f>
        <v>LD</v>
      </c>
      <c r="G34" s="83" t="str">
        <f>IF('Time Entry'!D$13="","",'Time Entry'!D$13)</f>
        <v>Miscellaneous</v>
      </c>
      <c r="H34" s="83" t="str">
        <f>IF('Time Entry'!E$13="","",'Time Entry'!E$13)</f>
        <v>COE-015-LD</v>
      </c>
      <c r="I34" s="83" t="str">
        <f>IF('Time Entry'!$G$13="","",'Time Entry'!$G$13)</f>
        <v/>
      </c>
      <c r="J34" s="83" t="str">
        <f>IF('Time Entry'!$F$13="","",'Time Entry'!$F$13)</f>
        <v>Emails / Touchpoints / Misc. Calls</v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4.5">
      <c r="A35" s="76" t="str">
        <f>IF('Time Entry'!$D$7="","",'Time Entry'!$D$7)</f>
        <v>Matthew Burgess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Entry'!$H$10="","",'Time Entry'!$H$10)</f>
        <v>44794</v>
      </c>
      <c r="E35" s="83" t="str">
        <f>IF('Time Entry'!$B$13="","",'Time Entry'!$B$13)</f>
        <v/>
      </c>
      <c r="F35" s="83" t="str">
        <f>IF('Time Entry'!C$13="","",'Time Entry'!C$13)</f>
        <v>LD</v>
      </c>
      <c r="G35" s="83" t="str">
        <f>IF('Time Entry'!D$13="","",'Time Entry'!D$13)</f>
        <v>Miscellaneous</v>
      </c>
      <c r="H35" s="83" t="str">
        <f>IF('Time Entry'!E$13="","",'Time Entry'!E$13)</f>
        <v>COE-015-LD</v>
      </c>
      <c r="I35" s="83" t="str">
        <f>IF('Time Entry'!$H$13="","",'Time Entry'!$H$13)</f>
        <v/>
      </c>
      <c r="J35" s="83" t="str">
        <f>IF('Time Entry'!$F$13="","",'Time Entry'!$F$13)</f>
        <v>Emails / Touchpoints / Misc. Calls</v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4.5">
      <c r="A36" s="76" t="str">
        <f>IF('Time Entry'!$D$7="","",'Time Entry'!$D$7)</f>
        <v>Matthew Burgess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Entry'!$B$14="","",'Time Entry'!$B$14)</f>
        <v/>
      </c>
      <c r="F36" s="83" t="str">
        <f>IF('Time Entry'!C$14="","",'Time Entry'!C$14)</f>
        <v>LD</v>
      </c>
      <c r="G36" s="83" t="str">
        <f>IF('Time Entry'!D$14="","",'Time Entry'!D$14)</f>
        <v>Training - Developing</v>
      </c>
      <c r="H36" s="83" t="str">
        <f>IF('Time Entry'!E$14="","",'Time Entry'!E$14)</f>
        <v>IMP-004-ID</v>
      </c>
      <c r="I36" s="83" t="str">
        <f>IF('Time Entry'!$G$14="","",'Time Entry'!$G$14)</f>
        <v/>
      </c>
      <c r="J36" s="83" t="str">
        <f>IF('Time Entry'!$F$14="","",'Time Entry'!$F$14)</f>
        <v>Timetracker</v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4.5">
      <c r="A37" s="76" t="str">
        <f>IF('Time Entry'!$D$7="","",'Time Entry'!$D$7)</f>
        <v>Matthew Burgess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Entry'!$B$14="","",'Time Entry'!$B$14)</f>
        <v/>
      </c>
      <c r="F37" s="83" t="str">
        <f>IF('Time Entry'!C$14="","",'Time Entry'!C$14)</f>
        <v>LD</v>
      </c>
      <c r="G37" s="83" t="str">
        <f>IF('Time Entry'!D$14="","",'Time Entry'!D$14)</f>
        <v>Training - Developing</v>
      </c>
      <c r="H37" s="83" t="str">
        <f>IF('Time Entry'!E$14="","",'Time Entry'!E$14)</f>
        <v>IMP-004-ID</v>
      </c>
      <c r="I37" s="83" t="str">
        <f>IF('Time Entry'!$H$14="","",'Time Entry'!$H$14)</f>
        <v/>
      </c>
      <c r="J37" s="83" t="str">
        <f>IF('Time Entry'!$F$14="","",'Time Entry'!$F$14)</f>
        <v>Timetracker</v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4.5">
      <c r="A38" s="76" t="str">
        <f>IF('Time Entry'!$D$7="","",'Time Entry'!$D$7)</f>
        <v>Matthew Burgess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Entry'!$J$10="","",'Time Entry'!$J$10)</f>
        <v>44796</v>
      </c>
      <c r="E38" s="83" t="str">
        <f>IF('Time Entry'!$B$14="","",'Time Entry'!$B$14)</f>
        <v/>
      </c>
      <c r="F38" s="83" t="str">
        <f>IF('Time Entry'!C$14="","",'Time Entry'!C$14)</f>
        <v>LD</v>
      </c>
      <c r="G38" s="83" t="str">
        <f>IF('Time Entry'!D$14="","",'Time Entry'!D$14)</f>
        <v>Training - Developing</v>
      </c>
      <c r="H38" s="83" t="str">
        <f>IF('Time Entry'!E$14="","",'Time Entry'!E$14)</f>
        <v>IMP-004-ID</v>
      </c>
      <c r="I38" s="83" t="str">
        <f>IF('Time Entry'!$J$14="","",'Time Entry'!$J$14)</f>
        <v/>
      </c>
      <c r="J38" s="83" t="str">
        <f>IF('Time Entry'!$F$14="","",'Time Entry'!$F$14)</f>
        <v>Timetracker</v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4.5">
      <c r="A39" s="76" t="str">
        <f>IF('Time Entry'!$D$7="","",'Time Entry'!$D$7)</f>
        <v>Matthew Burgess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Entry'!$G$10="","",'Time Entry'!$G$10)</f>
        <v>44793</v>
      </c>
      <c r="E39" s="83" t="str">
        <f>IF('Time Entry'!$B$15="","",'Time Entry'!$B$15)</f>
        <v/>
      </c>
      <c r="F39" s="83" t="str">
        <f>IF('Time Entry'!C$15="","",'Time Entry'!C$15)</f>
        <v>LD</v>
      </c>
      <c r="G39" s="83" t="str">
        <f>IF('Time Entry'!D$15="","",'Time Entry'!D$15)</f>
        <v>Internal Meetings - Bi-weekly Calls</v>
      </c>
      <c r="H39" s="83" t="str">
        <f>IF('Time Entry'!E$15="","",'Time Entry'!E$15)</f>
        <v>COE-012-LD</v>
      </c>
      <c r="I39" s="83" t="str">
        <f>IF('Time Entry'!$G$15="","",'Time Entry'!$G$15)</f>
        <v/>
      </c>
      <c r="J39" s="83" t="str">
        <f>IF('Time Entry'!$F$15="","",'Time Entry'!$F$15)</f>
        <v/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4.5">
      <c r="A40" s="76" t="str">
        <f>IF('Time Entry'!$D$7="","",'Time Entry'!$D$7)</f>
        <v>Matthew Burgess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Entry'!$H$10="","",'Time Entry'!$H$10)</f>
        <v>44794</v>
      </c>
      <c r="E40" s="83" t="str">
        <f>IF('Time Entry'!$B$15="","",'Time Entry'!$B$15)</f>
        <v/>
      </c>
      <c r="F40" s="83" t="str">
        <f>IF('Time Entry'!C$15="","",'Time Entry'!C$15)</f>
        <v>LD</v>
      </c>
      <c r="G40" s="83" t="str">
        <f>IF('Time Entry'!D$15="","",'Time Entry'!D$15)</f>
        <v>Internal Meetings - Bi-weekly Calls</v>
      </c>
      <c r="H40" s="83" t="str">
        <f>IF('Time Entry'!E$15="","",'Time Entry'!E$15)</f>
        <v>COE-012-LD</v>
      </c>
      <c r="I40" s="83" t="str">
        <f>IF('Time Entry'!$H$15="","",'Time Entry'!$H$15)</f>
        <v/>
      </c>
      <c r="J40" s="83" t="str">
        <f>IF('Time Entry'!$F$15="","",'Time Entry'!$F$15)</f>
        <v/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4.5">
      <c r="A41" s="76" t="str">
        <f>IF('Time Entry'!$D$7="","",'Time Entry'!$D$7)</f>
        <v>Matthew Burgess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Entry'!$I$10="","",'Time Entry'!$I$10)</f>
        <v>44795</v>
      </c>
      <c r="E41" s="83" t="str">
        <f>IF('Time Entry'!$B$15="","",'Time Entry'!$B$15)</f>
        <v/>
      </c>
      <c r="F41" s="83" t="str">
        <f>IF('Time Entry'!C$15="","",'Time Entry'!C$15)</f>
        <v>LD</v>
      </c>
      <c r="G41" s="83" t="str">
        <f>IF('Time Entry'!D$15="","",'Time Entry'!D$15)</f>
        <v>Internal Meetings - Bi-weekly Calls</v>
      </c>
      <c r="H41" s="83" t="str">
        <f>IF('Time Entry'!E$15="","",'Time Entry'!E$15)</f>
        <v>COE-012-LD</v>
      </c>
      <c r="I41" s="83" t="str">
        <f>IF('Time Entry'!$I$15="","",'Time Entry'!$I$15)</f>
        <v/>
      </c>
      <c r="J41" s="83" t="str">
        <f>IF('Time Entry'!$F$15="","",'Time Entry'!$F$15)</f>
        <v/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4.5">
      <c r="A42" s="76" t="str">
        <f>IF('Time Entry'!$D$7="","",'Time Entry'!$D$7)</f>
        <v>Matthew Burgess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Entry'!$M$10="","",'Time Entry'!$M$10)</f>
        <v>44799</v>
      </c>
      <c r="E42" s="83" t="str">
        <f>IF('Time Entry'!$B$15="","",'Time Entry'!$B$15)</f>
        <v/>
      </c>
      <c r="F42" s="83" t="str">
        <f>IF('Time Entry'!C$15="","",'Time Entry'!C$15)</f>
        <v>LD</v>
      </c>
      <c r="G42" s="83" t="str">
        <f>IF('Time Entry'!D$15="","",'Time Entry'!D$15)</f>
        <v>Internal Meetings - Bi-weekly Calls</v>
      </c>
      <c r="H42" s="83" t="str">
        <f>IF('Time Entry'!E$15="","",'Time Entry'!E$15)</f>
        <v>COE-012-LD</v>
      </c>
      <c r="I42" s="83" t="str">
        <f>IF('Time Entry'!$M$15="","",'Time Entry'!$M$15)</f>
        <v/>
      </c>
      <c r="J42" s="83" t="str">
        <f>IF('Time Entry'!$F$15="","",'Time Entry'!$F$15)</f>
        <v/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4.5">
      <c r="A43" s="76" t="str">
        <f>IF('Time Entry'!$D$7="","",'Time Entry'!$D$7)</f>
        <v>Matthew Burgess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Entry'!$G$10="","",'Time Entry'!$G$10)</f>
        <v>44793</v>
      </c>
      <c r="E43" s="83">
        <f>IF('Time Entry'!$B$16="","",'Time Entry'!$B$16)</f>
        <v>1</v>
      </c>
      <c r="F43" s="83" t="str">
        <f>IF('Time Entry'!C$16="","",'Time Entry'!C$16)</f>
        <v>ID</v>
      </c>
      <c r="G43" s="83" t="str">
        <f>IF('Time Entry'!D$16="","",'Time Entry'!D$16)</f>
        <v>WIN</v>
      </c>
      <c r="H43" s="83" t="str">
        <f>IF('Time Entry'!E$16="","",'Time Entry'!E$16)</f>
        <v>IMP-014-ID</v>
      </c>
      <c r="I43" s="83" t="str">
        <f>IF('Time Entry'!$G$16="","",'Time Entry'!$G$16)</f>
        <v/>
      </c>
      <c r="J43" s="83" t="str">
        <f>IF('Time Entry'!$F$16="","",'Time Entry'!$F$16)</f>
        <v>WIN Speaker Series</v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4.5">
      <c r="A44" s="76" t="str">
        <f>IF('Time Entry'!$D$7="","",'Time Entry'!$D$7)</f>
        <v>Matthew Burgess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Entry'!$H$10="","",'Time Entry'!$H$10)</f>
        <v>44794</v>
      </c>
      <c r="E44" s="83">
        <f>IF('Time Entry'!$B$16="","",'Time Entry'!$B$16)</f>
        <v>1</v>
      </c>
      <c r="F44" s="83" t="str">
        <f>IF('Time Entry'!C$16="","",'Time Entry'!C$16)</f>
        <v>ID</v>
      </c>
      <c r="G44" s="83" t="str">
        <f>IF('Time Entry'!D$16="","",'Time Entry'!D$16)</f>
        <v>WIN</v>
      </c>
      <c r="H44" s="83" t="str">
        <f>IF('Time Entry'!E$16="","",'Time Entry'!E$16)</f>
        <v>IMP-014-ID</v>
      </c>
      <c r="I44" s="83" t="str">
        <f>IF('Time Entry'!$H$16="","",'Time Entry'!$H$16)</f>
        <v/>
      </c>
      <c r="J44" s="83" t="str">
        <f>IF('Time Entry'!$F$16="","",'Time Entry'!$F$16)</f>
        <v>WIN Speaker Series</v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4.5">
      <c r="A45" s="76" t="str">
        <f>IF('Time Entry'!$D$7="","",'Time Entry'!$D$7)</f>
        <v>Matthew Burgess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Entry'!$I$10="","",'Time Entry'!$I$10)</f>
        <v>44795</v>
      </c>
      <c r="E45" s="83">
        <f>IF('Time Entry'!$B$16="","",'Time Entry'!$B$16)</f>
        <v>1</v>
      </c>
      <c r="F45" s="83" t="str">
        <f>IF('Time Entry'!C$16="","",'Time Entry'!C$16)</f>
        <v>ID</v>
      </c>
      <c r="G45" s="83" t="str">
        <f>IF('Time Entry'!D$16="","",'Time Entry'!D$16)</f>
        <v>WIN</v>
      </c>
      <c r="H45" s="83" t="str">
        <f>IF('Time Entry'!E$16="","",'Time Entry'!E$16)</f>
        <v>IMP-014-ID</v>
      </c>
      <c r="I45" s="83" t="str">
        <f>IF('Time Entry'!$I$16="","",'Time Entry'!$I$16)</f>
        <v/>
      </c>
      <c r="J45" s="83" t="str">
        <f>IF('Time Entry'!$F$16="","",'Time Entry'!$F$16)</f>
        <v>WIN Speaker Series</v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4.5">
      <c r="A46" s="76" t="str">
        <f>IF('Time Entry'!$D$7="","",'Time Entry'!$D$7)</f>
        <v>Matthew Burgess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Entry'!$K$10="","",'Time Entry'!$K$10)</f>
        <v>44797</v>
      </c>
      <c r="E46" s="83">
        <f>IF('Time Entry'!$B$16="","",'Time Entry'!$B$16)</f>
        <v>1</v>
      </c>
      <c r="F46" s="83" t="str">
        <f>IF('Time Entry'!C$16="","",'Time Entry'!C$16)</f>
        <v>ID</v>
      </c>
      <c r="G46" s="83" t="str">
        <f>IF('Time Entry'!D$16="","",'Time Entry'!D$16)</f>
        <v>WIN</v>
      </c>
      <c r="H46" s="83" t="str">
        <f>IF('Time Entry'!E$16="","",'Time Entry'!E$16)</f>
        <v>IMP-014-ID</v>
      </c>
      <c r="I46" s="83" t="str">
        <f>IF('Time Entry'!$K$16="","",'Time Entry'!$K$16)</f>
        <v/>
      </c>
      <c r="J46" s="83" t="str">
        <f>IF('Time Entry'!$F$16="","",'Time Entry'!$F$16)</f>
        <v>WIN Speaker Series</v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4.5">
      <c r="A47" s="76" t="str">
        <f>IF('Time Entry'!$D$7="","",'Time Entry'!$D$7)</f>
        <v>Matthew Burgess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Entry'!$G$10="","",'Time Entry'!$G$10)</f>
        <v>44793</v>
      </c>
      <c r="E47" s="83">
        <f>IF('Time Entry'!$B$17="","",'Time Entry'!$B$17)</f>
        <v>2</v>
      </c>
      <c r="F47" s="83" t="str">
        <f>IF('Time Entry'!C$17="","",'Time Entry'!C$17)</f>
        <v>LD</v>
      </c>
      <c r="G47" s="83" t="str">
        <f>IF('Time Entry'!D$17="","",'Time Entry'!D$17)</f>
        <v>Jaggaer Build</v>
      </c>
      <c r="H47" s="83" t="str">
        <f>IF('Time Entry'!E$17="","",'Time Entry'!E$17)</f>
        <v>COE-017-LD</v>
      </c>
      <c r="I47" s="83" t="str">
        <f>IF('Time Entry'!$G$17="","",'Time Entry'!$G$17)</f>
        <v/>
      </c>
      <c r="J47" s="83" t="str">
        <f>IF('Time Entry'!$F$17="","",'Time Entry'!$F$17)</f>
        <v>Jaggaer Training - RET</v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4.5">
      <c r="A48" s="76" t="str">
        <f>IF('Time Entry'!$D$7="","",'Time Entry'!$D$7)</f>
        <v>Matthew Burgess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Entry'!$H$10="","",'Time Entry'!$H$10)</f>
        <v>44794</v>
      </c>
      <c r="E48" s="83">
        <f>IF('Time Entry'!$B$17="","",'Time Entry'!$B$17)</f>
        <v>2</v>
      </c>
      <c r="F48" s="83" t="str">
        <f>IF('Time Entry'!C$17="","",'Time Entry'!C$17)</f>
        <v>LD</v>
      </c>
      <c r="G48" s="83" t="str">
        <f>IF('Time Entry'!D$17="","",'Time Entry'!D$17)</f>
        <v>Jaggaer Build</v>
      </c>
      <c r="H48" s="83" t="str">
        <f>IF('Time Entry'!E$17="","",'Time Entry'!E$17)</f>
        <v>COE-017-LD</v>
      </c>
      <c r="I48" s="83" t="str">
        <f>IF('Time Entry'!$H$17="","",'Time Entry'!$H$17)</f>
        <v/>
      </c>
      <c r="J48" s="83" t="str">
        <f>IF('Time Entry'!$F$17="","",'Time Entry'!$F$17)</f>
        <v>Jaggaer Training - RET</v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4.5">
      <c r="A49" s="76" t="str">
        <f>IF('Time Entry'!$D$7="","",'Time Entry'!$D$7)</f>
        <v>Matthew Burgess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Entry'!$I$10="","",'Time Entry'!$I$10)</f>
        <v>44795</v>
      </c>
      <c r="E49" s="83">
        <f>IF('Time Entry'!$B$17="","",'Time Entry'!$B$17)</f>
        <v>2</v>
      </c>
      <c r="F49" s="83" t="str">
        <f>IF('Time Entry'!C$17="","",'Time Entry'!C$17)</f>
        <v>LD</v>
      </c>
      <c r="G49" s="83" t="str">
        <f>IF('Time Entry'!D$17="","",'Time Entry'!D$17)</f>
        <v>Jaggaer Build</v>
      </c>
      <c r="H49" s="83" t="str">
        <f>IF('Time Entry'!E$17="","",'Time Entry'!E$17)</f>
        <v>COE-017-LD</v>
      </c>
      <c r="I49" s="83" t="str">
        <f>IF('Time Entry'!$I$17="","",'Time Entry'!$I$17)</f>
        <v/>
      </c>
      <c r="J49" s="83" t="str">
        <f>IF('Time Entry'!$F$17="","",'Time Entry'!$F$17)</f>
        <v>Jaggaer Training - RET</v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4.5">
      <c r="A50" s="76" t="str">
        <f>IF('Time Entry'!$D$7="","",'Time Entry'!$D$7)</f>
        <v>Matthew Burgess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Entry'!$J$10="","",'Time Entry'!$J$10)</f>
        <v>44796</v>
      </c>
      <c r="E50" s="83">
        <f>IF('Time Entry'!$B$17="","",'Time Entry'!$B$17)</f>
        <v>2</v>
      </c>
      <c r="F50" s="83" t="str">
        <f>IF('Time Entry'!C$17="","",'Time Entry'!C$17)</f>
        <v>LD</v>
      </c>
      <c r="G50" s="83" t="str">
        <f>IF('Time Entry'!D$17="","",'Time Entry'!D$17)</f>
        <v>Jaggaer Build</v>
      </c>
      <c r="H50" s="83" t="str">
        <f>IF('Time Entry'!E$17="","",'Time Entry'!E$17)</f>
        <v>COE-017-LD</v>
      </c>
      <c r="I50" s="83" t="str">
        <f>IF('Time Entry'!$J$17="","",'Time Entry'!$J$17)</f>
        <v/>
      </c>
      <c r="J50" s="83" t="str">
        <f>IF('Time Entry'!$F$17="","",'Time Entry'!$F$17)</f>
        <v>Jaggaer Training - RET</v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4.5">
      <c r="A51" s="76" t="str">
        <f>IF('Time Entry'!$D$7="","",'Time Entry'!$D$7)</f>
        <v>Matthew Burgess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Entry'!$K$10="","",'Time Entry'!$K$10)</f>
        <v>44797</v>
      </c>
      <c r="E51" s="83">
        <f>IF('Time Entry'!$B$17="","",'Time Entry'!$B$17)</f>
        <v>2</v>
      </c>
      <c r="F51" s="83" t="str">
        <f>IF('Time Entry'!C$17="","",'Time Entry'!C$17)</f>
        <v>LD</v>
      </c>
      <c r="G51" s="83" t="str">
        <f>IF('Time Entry'!D$17="","",'Time Entry'!D$17)</f>
        <v>Jaggaer Build</v>
      </c>
      <c r="H51" s="83" t="str">
        <f>IF('Time Entry'!E$17="","",'Time Entry'!E$17)</f>
        <v>COE-017-LD</v>
      </c>
      <c r="I51" s="83" t="str">
        <f>IF('Time Entry'!$K$17="","",'Time Entry'!$K$17)</f>
        <v/>
      </c>
      <c r="J51" s="83" t="str">
        <f>IF('Time Entry'!$F$17="","",'Time Entry'!$F$17)</f>
        <v>Jaggaer Training - RET</v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4.5">
      <c r="A52" s="76" t="str">
        <f>IF('Time Entry'!$D$7="","",'Time Entry'!$D$7)</f>
        <v>Matthew Burgess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4.5">
      <c r="A53" s="76" t="str">
        <f>IF('Time Entry'!$D$7="","",'Time Entry'!$D$7)</f>
        <v>Matthew Burgess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4.5">
      <c r="A54" s="76" t="str">
        <f>IF('Time Entry'!$D$7="","",'Time Entry'!$D$7)</f>
        <v>Matthew Burgess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4.5">
      <c r="A55" s="76" t="str">
        <f>IF('Time Entry'!$D$7="","",'Time Entry'!$D$7)</f>
        <v>Matthew Burgess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4.5">
      <c r="A56" s="76" t="str">
        <f>IF('Time Entry'!$D$7="","",'Time Entry'!$D$7)</f>
        <v>Matthew Burgess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4.5">
      <c r="A57" s="76" t="str">
        <f>IF('Time Entry'!$D$7="","",'Time Entry'!$D$7)</f>
        <v>Matthew Burgess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4.5">
      <c r="A58" s="76" t="str">
        <f>IF('Time Entry'!$D$7="","",'Time Entry'!$D$7)</f>
        <v>Matthew Burgess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4.5">
      <c r="A59" s="76" t="str">
        <f>IF('Time Entry'!$D$7="","",'Time Entry'!$D$7)</f>
        <v>Matthew Burgess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4.5">
      <c r="A60" s="76" t="str">
        <f>IF('Time Entry'!$D$7="","",'Time Entry'!$D$7)</f>
        <v>Matthew Burgess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4.5">
      <c r="A61" s="76" t="str">
        <f>IF('Time Entry'!$D$7="","",'Time Entry'!$D$7)</f>
        <v>Matthew Burgess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4.5">
      <c r="A62" s="76" t="str">
        <f>IF('Time Entry'!$D$7="","",'Time Entry'!$D$7)</f>
        <v>Matthew Burgess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4.5">
      <c r="A63" s="76" t="str">
        <f>IF('Time Entry'!$D$7="","",'Time Entry'!$D$7)</f>
        <v>Matthew Burgess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4.5">
      <c r="A64" s="76" t="str">
        <f>IF('Time Entry'!$D$7="","",'Time Entry'!$D$7)</f>
        <v>Matthew Burgess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4.5">
      <c r="A65" s="76" t="str">
        <f>IF('Time Entry'!$D$7="","",'Time Entry'!$D$7)</f>
        <v>Matthew Burgess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4.5">
      <c r="A66" s="76" t="str">
        <f>IF('Time Entry'!$D$7="","",'Time Entry'!$D$7)</f>
        <v>Matthew Burgess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4.5">
      <c r="A67" s="76" t="str">
        <f>IF('Time Entry'!$D$7="","",'Time Entry'!$D$7)</f>
        <v>Matthew Burgess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4.5">
      <c r="A68" s="76" t="str">
        <f>IF('Time Entry'!$D$7="","",'Time Entry'!$D$7)</f>
        <v>Matthew Burgess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4.5">
      <c r="A69" s="76" t="str">
        <f>IF('Time Entry'!$D$7="","",'Time Entry'!$D$7)</f>
        <v>Matthew Burgess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4.5">
      <c r="A70" s="76" t="str">
        <f>IF('Time Entry'!$D$7="","",'Time Entry'!$D$7)</f>
        <v>Matthew Burgess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4.5">
      <c r="A71" s="76" t="str">
        <f>IF('Time Entry'!$D$7="","",'Time Entry'!$D$7)</f>
        <v>Matthew Burgess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4.5">
      <c r="A72" s="76" t="str">
        <f>IF('Time Entry'!$D$7="","",'Time Entry'!$D$7)</f>
        <v>Matthew Burgess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4.5">
      <c r="A73" s="76" t="str">
        <f>IF('Time Entry'!$D$7="","",'Time Entry'!$D$7)</f>
        <v>Matthew Burgess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4.5">
      <c r="A74" s="76" t="str">
        <f>IF('Time Entry'!$D$7="","",'Time Entry'!$D$7)</f>
        <v>Matthew Burgess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4.5">
      <c r="A75" s="76" t="str">
        <f>IF('Time Entry'!$D$7="","",'Time Entry'!$D$7)</f>
        <v>Matthew Burgess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4.5">
      <c r="A76" s="76" t="str">
        <f>IF('Time Entry'!$D$7="","",'Time Entry'!$D$7)</f>
        <v>Matthew Burgess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4.5">
      <c r="A77" s="76" t="str">
        <f>IF('Time Entry'!$D$7="","",'Time Entry'!$D$7)</f>
        <v>Matthew Burgess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4.5">
      <c r="A78" s="76" t="str">
        <f>IF('Time Entry'!$D$7="","",'Time Entry'!$D$7)</f>
        <v>Matthew Burgess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4.5">
      <c r="A79" s="76" t="str">
        <f>IF('Time Entry'!$D$7="","",'Time Entry'!$D$7)</f>
        <v>Matthew Burgess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4.5">
      <c r="A80" s="76" t="str">
        <f>IF('Time Entry'!$D$7="","",'Time Entry'!$D$7)</f>
        <v>Matthew Burgess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4.5">
      <c r="A81" s="76" t="str">
        <f>IF('Time Entry'!$D$7="","",'Time Entry'!$D$7)</f>
        <v>Matthew Burgess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4.5">
      <c r="A82" s="76" t="str">
        <f>IF('Time Entry'!$D$7="","",'Time Entry'!$D$7)</f>
        <v>Matthew Burgess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4.5">
      <c r="A83" s="76" t="str">
        <f>IF('Time Entry'!$D$7="","",'Time Entry'!$D$7)</f>
        <v>Matthew Burgess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4.5">
      <c r="A84" s="76" t="str">
        <f>IF('Time Entry'!$D$7="","",'Time Entry'!$D$7)</f>
        <v>Matthew Burgess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4.5">
      <c r="A85" s="76" t="str">
        <f>IF('Time Entry'!$D$7="","",'Time Entry'!$D$7)</f>
        <v>Matthew Burgess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4.5">
      <c r="A86" s="76" t="str">
        <f>IF('Time Entry'!$D$7="","",'Time Entry'!$D$7)</f>
        <v>Matthew Burgess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4.5">
      <c r="A87" s="76" t="str">
        <f>IF('Time Entry'!$D$7="","",'Time Entry'!$D$7)</f>
        <v>Matthew Burgess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4.5">
      <c r="A88" s="76" t="str">
        <f>IF('Time Entry'!$D$7="","",'Time Entry'!$D$7)</f>
        <v>Matthew Burgess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4.5">
      <c r="A89" s="76" t="str">
        <f>IF('Time Entry'!$D$7="","",'Time Entry'!$D$7)</f>
        <v>Matthew Burgess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4.5">
      <c r="A90" s="76" t="str">
        <f>IF('Time Entry'!$D$7="","",'Time Entry'!$D$7)</f>
        <v>Matthew Burgess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4.5">
      <c r="A91" s="76" t="str">
        <f>IF('Time Entry'!$D$7="","",'Time Entry'!$D$7)</f>
        <v>Matthew Burgess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4.5">
      <c r="A92" s="76" t="str">
        <f>IF('Time Entry'!$D$7="","",'Time Entry'!$D$7)</f>
        <v>Matthew Burgess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4.5">
      <c r="A93" s="76" t="str">
        <f>IF('Time Entry'!$D$7="","",'Time Entry'!$D$7)</f>
        <v>Matthew Burgess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4.5">
      <c r="A94" s="76" t="str">
        <f>IF('Time Entry'!$D$7="","",'Time Entry'!$D$7)</f>
        <v>Matthew Burgess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4.5">
      <c r="A95" s="76" t="str">
        <f>IF('Time Entry'!$D$7="","",'Time Entry'!$D$7)</f>
        <v>Matthew Burgess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4.5">
      <c r="A96" s="76" t="str">
        <f>IF('Time Entry'!$D$7="","",'Time Entry'!$D$7)</f>
        <v>Matthew Burgess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4.5">
      <c r="A97" s="76" t="str">
        <f>IF('Time Entry'!$D$7="","",'Time Entry'!$D$7)</f>
        <v>Matthew Burgess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4.5">
      <c r="A98" s="76" t="str">
        <f>IF('Time Entry'!$D$7="","",'Time Entry'!$D$7)</f>
        <v>Matthew Burgess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4.5">
      <c r="A99" s="76" t="str">
        <f>IF('Time Entry'!$D$7="","",'Time Entry'!$D$7)</f>
        <v>Matthew Burgess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4.5">
      <c r="A100" s="76" t="str">
        <f>IF('Time Entry'!$D$7="","",'Time Entry'!$D$7)</f>
        <v>Matthew Burgess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4.5">
      <c r="A101" s="76" t="str">
        <f>IF('Time Entry'!$D$7="","",'Time Entry'!$D$7)</f>
        <v>Matthew Burgess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4.5">
      <c r="A102" s="76" t="str">
        <f>IF('Time Entry'!$D$7="","",'Time Entry'!$D$7)</f>
        <v>Matthew Burgess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4.5">
      <c r="A103" s="76" t="str">
        <f>IF('Time Entry'!$D$7="","",'Time Entry'!$D$7)</f>
        <v>Matthew Burgess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4.5">
      <c r="A104" s="76" t="str">
        <f>IF('Time Entry'!$D$7="","",'Time Entry'!$D$7)</f>
        <v>Matthew Burgess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4.5">
      <c r="A105" s="76" t="str">
        <f>IF('Time Entry'!$D$7="","",'Time Entry'!$D$7)</f>
        <v>Matthew Burgess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4.5">
      <c r="A106" s="76" t="str">
        <f>IF('Time Entry'!$D$7="","",'Time Entry'!$D$7)</f>
        <v>Matthew Burgess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4.5">
      <c r="A107" s="76" t="str">
        <f>IF('Time Entry'!$D$7="","",'Time Entry'!$D$7)</f>
        <v>Matthew Burgess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4.5">
      <c r="A108" s="76" t="str">
        <f>IF('Time Entry'!$D$7="","",'Time Entry'!$D$7)</f>
        <v>Matthew Burgess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4.5">
      <c r="A109" s="76" t="str">
        <f>IF('Time Entry'!$D$7="","",'Time Entry'!$D$7)</f>
        <v>Matthew Burgess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4.5">
      <c r="A110" s="76" t="str">
        <f>IF('Time Entry'!$D$7="","",'Time Entry'!$D$7)</f>
        <v>Matthew Burgess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4.5">
      <c r="A111" s="76" t="str">
        <f>IF('Time Entry'!$D$7="","",'Time Entry'!$D$7)</f>
        <v>Matthew Burgess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4.5">
      <c r="A112" s="76" t="str">
        <f>IF('Time Entry'!$D$7="","",'Time Entry'!$D$7)</f>
        <v>Matthew Burgess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4.5">
      <c r="A113" s="76" t="str">
        <f>IF('Time Entry'!$D$7="","",'Time Entry'!$D$7)</f>
        <v>Matthew Burgess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4.5">
      <c r="A114" s="76" t="str">
        <f>IF('Time Entry'!$D$7="","",'Time Entry'!$D$7)</f>
        <v>Matthew Burgess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4.5">
      <c r="A115" s="76" t="str">
        <f>IF('Time Entry'!$D$7="","",'Time Entry'!$D$7)</f>
        <v>Matthew Burgess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4.5">
      <c r="A116" s="76" t="str">
        <f>IF('Time Entry'!$D$7="","",'Time Entry'!$D$7)</f>
        <v>Matthew Burgess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4.5">
      <c r="A117" s="76" t="str">
        <f>IF('Time Entry'!$D$7="","",'Time Entry'!$D$7)</f>
        <v>Matthew Burgess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4.5">
      <c r="A118" s="76" t="str">
        <f>IF('Time Entry'!$D$7="","",'Time Entry'!$D$7)</f>
        <v>Matthew Burgess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4.5">
      <c r="A119" s="76" t="str">
        <f>IF('Time Entry'!$D$7="","",'Time Entry'!$D$7)</f>
        <v>Matthew Burgess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4.5">
      <c r="A120" s="76" t="str">
        <f>IF('Time Entry'!$D$7="","",'Time Entry'!$D$7)</f>
        <v>Matthew Burgess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4.5">
      <c r="A121" s="76" t="str">
        <f>IF('Time Entry'!$D$7="","",'Time Entry'!$D$7)</f>
        <v>Matthew Burgess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4.5">
      <c r="A122" s="76" t="str">
        <f>IF('Time Entry'!$D$7="","",'Time Entry'!$D$7)</f>
        <v>Matthew Burgess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4.5">
      <c r="A123" s="76" t="str">
        <f>IF('Time Entry'!$D$7="","",'Time Entry'!$D$7)</f>
        <v>Matthew Burgess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4.5">
      <c r="A124" s="76" t="str">
        <f>IF('Time Entry'!$D$7="","",'Time Entry'!$D$7)</f>
        <v>Matthew Burgess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4.5">
      <c r="A125" s="76" t="str">
        <f>IF('Time Entry'!$D$7="","",'Time Entry'!$D$7)</f>
        <v>Matthew Burgess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4.5">
      <c r="A126" s="76" t="str">
        <f>IF('Time Entry'!$D$7="","",'Time Entry'!$D$7)</f>
        <v>Matthew Burgess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4.5">
      <c r="A127" s="76" t="str">
        <f>IF('Time Entry'!$D$7="","",'Time Entry'!$D$7)</f>
        <v>Matthew Burgess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4.5">
      <c r="A128" s="76" t="str">
        <f>IF('Time Entry'!$D$7="","",'Time Entry'!$D$7)</f>
        <v>Matthew Burgess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4.5">
      <c r="A129" s="76" t="str">
        <f>IF('Time Entry'!$D$7="","",'Time Entry'!$D$7)</f>
        <v>Matthew Burgess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4.5">
      <c r="A130" s="76" t="str">
        <f>IF('Time Entry'!$D$7="","",'Time Entry'!$D$7)</f>
        <v>Matthew Burgess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4.5">
      <c r="A131" s="76" t="str">
        <f>IF('Time Entry'!$D$7="","",'Time Entry'!$D$7)</f>
        <v>Matthew Burgess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4.5">
      <c r="A132" s="76" t="str">
        <f>IF('Time Entry'!$D$7="","",'Time Entry'!$D$7)</f>
        <v>Matthew Burgess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4.5">
      <c r="A133" s="76" t="str">
        <f>IF('Time Entry'!$D$7="","",'Time Entry'!$D$7)</f>
        <v>Matthew Burgess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4.5">
      <c r="A134" s="76" t="str">
        <f>IF('Time Entry'!$D$7="","",'Time Entry'!$D$7)</f>
        <v>Matthew Burgess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4.5">
      <c r="A135" s="76" t="str">
        <f>IF('Time Entry'!$D$7="","",'Time Entry'!$D$7)</f>
        <v>Matthew Burgess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4.5">
      <c r="A136" s="76" t="str">
        <f>IF('Time Entry'!$D$7="","",'Time Entry'!$D$7)</f>
        <v>Matthew Burgess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4.5">
      <c r="A137" s="76" t="str">
        <f>IF('Time Entry'!$D$7="","",'Time Entry'!$D$7)</f>
        <v>Matthew Burgess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4.5">
      <c r="A138" s="76" t="str">
        <f>IF('Time Entry'!$D$7="","",'Time Entry'!$D$7)</f>
        <v>Matthew Burgess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4.5">
      <c r="A139" s="76" t="str">
        <f>IF('Time Entry'!$D$7="","",'Time Entry'!$D$7)</f>
        <v>Matthew Burgess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4.5">
      <c r="A140" s="76" t="str">
        <f>IF('Time Entry'!$D$7="","",'Time Entry'!$D$7)</f>
        <v>Matthew Burgess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4.5">
      <c r="A141" s="76" t="str">
        <f>IF('Time Entry'!$D$7="","",'Time Entry'!$D$7)</f>
        <v>Matthew Burgess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4.5">
      <c r="A142" s="76" t="str">
        <f>IF('Time Entry'!$D$7="","",'Time Entry'!$D$7)</f>
        <v>Matthew Burgess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4.5">
      <c r="A143" s="76" t="str">
        <f>IF('Time Entry'!$D$7="","",'Time Entry'!$D$7)</f>
        <v>Matthew Burgess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4.5">
      <c r="A144" s="76" t="str">
        <f>IF('Time Entry'!$D$7="","",'Time Entry'!$D$7)</f>
        <v>Matthew Burgess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4.5">
      <c r="A145" s="76" t="str">
        <f>IF('Time Entry'!$D$7="","",'Time Entry'!$D$7)</f>
        <v>Matthew Burgess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4.5">
      <c r="A146" s="76" t="str">
        <f>IF('Time Entry'!$D$7="","",'Time Entry'!$D$7)</f>
        <v>Matthew Burgess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4.5">
      <c r="A147" s="76" t="str">
        <f>IF('Time Entry'!$D$7="","",'Time Entry'!$D$7)</f>
        <v>Matthew Burgess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4.5">
      <c r="A148" s="76" t="str">
        <f>IF('Time Entry'!$D$7="","",'Time Entry'!$D$7)</f>
        <v>Matthew Burgess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4.5">
      <c r="A149" s="76" t="str">
        <f>IF('Time Entry'!$D$7="","",'Time Entry'!$D$7)</f>
        <v>Matthew Burgess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4.5">
      <c r="A150" s="76" t="str">
        <f>IF('Time Entry'!$D$7="","",'Time Entry'!$D$7)</f>
        <v>Matthew Burgess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4.5">
      <c r="A151" s="76" t="str">
        <f>IF('Time Entry'!$D$7="","",'Time Entry'!$D$7)</f>
        <v>Matthew Burgess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4.5">
      <c r="A152" s="76" t="str">
        <f>IF('Time Entry'!$D$7="","",'Time Entry'!$D$7)</f>
        <v>Matthew Burgess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4.5">
      <c r="A153" s="76" t="str">
        <f>IF('Time Entry'!$D$7="","",'Time Entry'!$D$7)</f>
        <v>Matthew Burgess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4.5">
      <c r="A154" s="76" t="str">
        <f>IF('Time Entry'!$D$7="","",'Time Entry'!$D$7)</f>
        <v>Matthew Burgess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5" thickBot="1">
      <c r="A155" s="79" t="str">
        <f>IF('Time Entry'!$D$7="","",'Time Entry'!$D$7)</f>
        <v>Matthew Burgess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8671875" defaultRowHeight="13"/>
  <cols>
    <col min="1" max="1" width="1.88671875" style="5" customWidth="1"/>
    <col min="2" max="2" width="9.109375" style="5" customWidth="1"/>
    <col min="3" max="3" width="17.21875" style="5" customWidth="1"/>
    <col min="4" max="4" width="16.5546875" style="5" bestFit="1" customWidth="1"/>
    <col min="5" max="5" width="37" style="5" customWidth="1"/>
    <col min="6" max="6" width="28.6640625" style="5" bestFit="1" customWidth="1"/>
    <col min="7" max="7" width="71.5546875" style="5" customWidth="1"/>
    <col min="8" max="8" width="39" style="5" bestFit="1" customWidth="1"/>
    <col min="9" max="9" width="13.5546875" style="5" bestFit="1" customWidth="1"/>
    <col min="10" max="10" width="11.33203125" style="5" customWidth="1"/>
    <col min="11" max="11" width="14.109375" style="5" bestFit="1" customWidth="1"/>
    <col min="12" max="12" width="14.6640625" style="5" bestFit="1" customWidth="1"/>
    <col min="13" max="13" width="11.21875" style="5" customWidth="1"/>
    <col min="14" max="14" width="33.109375" style="5" hidden="1" customWidth="1"/>
    <col min="15" max="15" width="9.88671875" style="5" hidden="1" customWidth="1"/>
    <col min="16" max="16" width="0" style="5" hidden="1" customWidth="1"/>
    <col min="17" max="17" width="39" style="5" hidden="1" customWidth="1"/>
    <col min="18" max="18" width="8.109375" style="5" hidden="1" customWidth="1"/>
    <col min="19" max="21" width="0" style="5" hidden="1" customWidth="1"/>
    <col min="22" max="22" width="29.88671875" style="5" hidden="1" customWidth="1"/>
    <col min="23" max="16384" width="8.8867187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5" customHeight="1" thickBot="1">
      <c r="D4" s="233" t="s">
        <v>18</v>
      </c>
      <c r="E4" s="234"/>
      <c r="G4" s="235" t="s">
        <v>39</v>
      </c>
      <c r="H4" s="237">
        <v>44791</v>
      </c>
      <c r="Q4" s="229" t="s">
        <v>183</v>
      </c>
      <c r="S4" s="231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6"/>
      <c r="H5" s="238"/>
      <c r="Q5" s="230"/>
      <c r="S5" s="232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5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8671875" defaultRowHeight="13"/>
  <cols>
    <col min="1" max="2" width="1.5546875" style="146" customWidth="1"/>
    <col min="3" max="3" width="21.6640625" style="146" customWidth="1"/>
    <col min="4" max="4" width="16.554687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546875" style="146" bestFit="1" customWidth="1"/>
    <col min="9" max="9" width="9" style="146" bestFit="1" customWidth="1"/>
    <col min="10" max="10" width="11.109375" style="146" customWidth="1"/>
    <col min="11" max="11" width="14.6640625" style="146" bestFit="1" customWidth="1"/>
    <col min="12" max="13" width="8.88671875" style="146"/>
    <col min="14" max="14" width="30.33203125" style="146" bestFit="1" customWidth="1"/>
    <col min="15" max="15" width="8.88671875" style="146"/>
    <col min="16" max="16" width="30.33203125" style="146" bestFit="1" customWidth="1"/>
    <col min="17" max="16384" width="8.8867187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39" t="s">
        <v>18</v>
      </c>
      <c r="E3" s="240"/>
    </row>
    <row r="4" spans="1:21">
      <c r="D4" s="147" t="s">
        <v>13</v>
      </c>
      <c r="E4" s="148" t="s">
        <v>14</v>
      </c>
      <c r="G4" s="241" t="s">
        <v>39</v>
      </c>
      <c r="H4" s="237">
        <v>44592</v>
      </c>
    </row>
    <row r="5" spans="1:21" ht="13.5" thickBot="1">
      <c r="D5" s="149" t="s">
        <v>306</v>
      </c>
      <c r="E5" s="150" t="s">
        <v>307</v>
      </c>
      <c r="G5" s="242"/>
      <c r="H5" s="238"/>
    </row>
    <row r="6" spans="1:21" ht="26.5" thickBot="1">
      <c r="D6" s="151" t="s">
        <v>308</v>
      </c>
      <c r="E6" s="152" t="s">
        <v>309</v>
      </c>
      <c r="P6" s="229" t="s">
        <v>183</v>
      </c>
      <c r="Q6" s="5"/>
      <c r="R6" s="231" t="s">
        <v>155</v>
      </c>
      <c r="S6" s="5"/>
      <c r="T6" s="66" t="s">
        <v>17</v>
      </c>
      <c r="U6" s="5"/>
    </row>
    <row r="7" spans="1:21" ht="7.15" customHeight="1" thickBot="1">
      <c r="E7" s="153"/>
      <c r="P7" s="230"/>
      <c r="Q7" s="5"/>
      <c r="R7" s="232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6.5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3"/>
  <cols>
    <col min="1" max="1" width="2.77734375" style="4" customWidth="1"/>
    <col min="2" max="2" width="18.21875" style="4" customWidth="1"/>
    <col min="3" max="3" width="17" style="4" customWidth="1"/>
    <col min="4" max="16384" width="9.33203125" style="4"/>
  </cols>
  <sheetData>
    <row r="1" spans="2:3" ht="13.5" thickBot="1"/>
    <row r="2" spans="2:3" ht="26.5" customHeight="1">
      <c r="B2" s="243" t="s">
        <v>35</v>
      </c>
      <c r="C2" s="244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198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5"/>
  <cols>
    <col min="1" max="1" width="2.77734375" style="1" customWidth="1"/>
    <col min="2" max="4" width="20.88671875" style="1" customWidth="1"/>
    <col min="5" max="5" width="12.6640625" style="1" customWidth="1"/>
    <col min="6" max="6" width="20.88671875" style="2" customWidth="1"/>
    <col min="7" max="7" width="15.88671875" style="2" customWidth="1"/>
    <col min="8" max="8" width="13.33203125" style="1" customWidth="1"/>
    <col min="9" max="16384" width="9.33203125" style="1"/>
  </cols>
  <sheetData>
    <row r="1" spans="2:8" ht="13" thickBot="1"/>
    <row r="2" spans="2:8" ht="13.5" thickBot="1">
      <c r="E2" s="61" t="s">
        <v>29</v>
      </c>
      <c r="F2" s="3">
        <v>44761</v>
      </c>
      <c r="G2" s="11"/>
    </row>
    <row r="3" spans="2:8" ht="13" thickBot="1">
      <c r="H3" s="30" t="s">
        <v>173</v>
      </c>
    </row>
    <row r="4" spans="2:8" ht="20" customHeight="1" thickBot="1">
      <c r="B4" s="245" t="s">
        <v>28</v>
      </c>
      <c r="C4" s="246"/>
      <c r="D4" s="246"/>
      <c r="E4" s="246"/>
      <c r="F4" s="246"/>
      <c r="G4" s="247"/>
    </row>
    <row r="5" spans="2:8" ht="26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3"/>
  <cols>
    <col min="1" max="1" width="2.77734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3"/>
  <cols>
    <col min="1" max="1" width="2.77734375" customWidth="1"/>
    <col min="2" max="2" width="12.5546875" customWidth="1"/>
    <col min="3" max="3" width="23" customWidth="1"/>
    <col min="4" max="4" width="13.109375" customWidth="1"/>
    <col min="5" max="5" width="15.109375" customWidth="1"/>
    <col min="6" max="6" width="17.88671875" customWidth="1"/>
  </cols>
  <sheetData>
    <row r="1" spans="2:6" ht="13.5" thickBot="1"/>
    <row r="2" spans="2:6" ht="26.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Matthew  Burgess</cp:lastModifiedBy>
  <cp:lastPrinted>2015-08-14T01:06:08Z</cp:lastPrinted>
  <dcterms:created xsi:type="dcterms:W3CDTF">2015-08-06T17:18:47Z</dcterms:created>
  <dcterms:modified xsi:type="dcterms:W3CDTF">2022-08-26T20:54:51Z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