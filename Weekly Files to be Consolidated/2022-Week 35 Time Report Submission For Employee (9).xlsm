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mpendianalytics-my.sharepoint.com/personal/steed_clark_impendi_com/Documents/Time Cards/"/>
    </mc:Choice>
  </mc:AlternateContent>
  <xr:revisionPtr revIDLastSave="0" documentId="8_{A2418C53-3F09-46E5-BA90-17BD04476029}" xr6:coauthVersionLast="47" xr6:coauthVersionMax="47" xr10:uidLastSave="{00000000-0000-0000-0000-000000000000}"/>
  <workbookProtection workbookAlgorithmName="SHA-512" workbookHashValue="lPHlKHrTjo2xelA0bWMcxlDNIVIPf63aP/LTDe3jLS9YcWWtjDQE2XH4WnvlBUQ3YYeltJXOnJlSsF3vHC4K0Q==" workbookSaltValue="gctxAW1JgiLBKMZNUYAqjw==" workbookSpinCount="100000" lockStructure="1"/>
  <bookViews>
    <workbookView xWindow="-110" yWindow="-110" windowWidth="25180" windowHeight="16260" firstSheet="1" activeTab="1" xr2:uid="{00000000-000D-0000-FFFF-FFFF00000000}"/>
  </bookViews>
  <sheets>
    <sheet name="Time Entry (2)" sheetId="18" state="hidden" r:id="rId1"/>
    <sheet name="Time Entry" sheetId="1" r:id="rId2"/>
    <sheet name="Data Upload" sheetId="11" r:id="rId3"/>
    <sheet name="Bill Code Master - LCOE" sheetId="15" state="hidden" r:id="rId4"/>
    <sheet name="Bill Code Master - Impendi" sheetId="19" state="hidden" r:id="rId5"/>
    <sheet name="Week Number Master" sheetId="10" state="hidden" r:id="rId6"/>
    <sheet name="Employee Master" sheetId="9" state="hidden" r:id="rId7"/>
    <sheet name="States Master" sheetId="12" state="hidden" r:id="rId8"/>
    <sheet name="Holiday Schedule - USA and IND" sheetId="16" state="hidden" r:id="rId9"/>
  </sheets>
  <externalReferences>
    <externalReference r:id="rId10"/>
  </externalReferences>
  <definedNames>
    <definedName name="_xlnm._FilterDatabase" localSheetId="4" hidden="1">'Bill Code Master - Impendi'!$D$9:$L$68</definedName>
    <definedName name="_xlnm._FilterDatabase" localSheetId="3" hidden="1">'Bill Code Master - LCOE'!$D$11:$L$92</definedName>
    <definedName name="_xlnm._FilterDatabase" localSheetId="2" hidden="1">'Data Upload'!$A$1:$I$71</definedName>
    <definedName name="_xlnm._FilterDatabase" localSheetId="6" hidden="1">'Employee Master'!$B$5:$G$5</definedName>
    <definedName name="Employee_Name" localSheetId="4">'[1]Employee Master'!$C$5:$C$16</definedName>
    <definedName name="Last_Line" localSheetId="0">'Time Entry (2)'!$28:$28</definedName>
    <definedName name="Last_Line">'Time Entry'!$30:$30</definedName>
    <definedName name="LCOE_Project_Category_Col">'Bill Code Master - LCOE'!$D$12:$D$92</definedName>
    <definedName name="LCOE_Project_Category_Start">'Bill Code Master - LCOE'!$D$11</definedName>
    <definedName name="Project_Category" localSheetId="4">'Bill Code Master - Impendi'!$D$4:$D$6</definedName>
    <definedName name="Project_Category" localSheetId="3">'Bill Code Master - LCOE'!$D$5:$D$7</definedName>
    <definedName name="Project_Category_Col" localSheetId="4">'Bill Code Master - Impendi'!$D$10:$D$68</definedName>
    <definedName name="Project_Category_Col" localSheetId="3">'Bill Code Master - LCOE'!$D$12:$D$92</definedName>
    <definedName name="Project_Category_Start" localSheetId="4">'Bill Code Master - Impendi'!$D$9</definedName>
    <definedName name="Project_Category_Start" localSheetId="3">'Bill Code Master - LCOE'!$D$11</definedName>
    <definedName name="Project_Category_Start_LCOE">'Bill Code Master - LCOE'!$D$11</definedName>
    <definedName name="Projects" localSheetId="4">'Bill Code Master - Impendi'!$D$9:$L$68</definedName>
    <definedName name="Projects" localSheetId="3">'Bill Code Master - LCOE'!$D$11:$L$92</definedName>
    <definedName name="Week_Start" localSheetId="4">'[1]Week Numbers'!$A$3:$A$27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10" l="1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45" i="10"/>
  <c r="D15" i="9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11" i="1"/>
  <c r="K92" i="15" l="1"/>
  <c r="E31" i="1" s="1"/>
  <c r="K91" i="15"/>
  <c r="E32" i="1" s="1"/>
  <c r="D10" i="9" l="1"/>
  <c r="D7" i="9"/>
  <c r="M31" i="18"/>
  <c r="L31" i="18"/>
  <c r="K31" i="18"/>
  <c r="J31" i="18"/>
  <c r="I31" i="18"/>
  <c r="H31" i="18"/>
  <c r="G31" i="18"/>
  <c r="N30" i="18"/>
  <c r="N29" i="18"/>
  <c r="N28" i="18"/>
  <c r="E28" i="18"/>
  <c r="N27" i="18"/>
  <c r="E27" i="18"/>
  <c r="N26" i="18"/>
  <c r="E26" i="18"/>
  <c r="N25" i="18"/>
  <c r="E25" i="18"/>
  <c r="N24" i="18"/>
  <c r="E24" i="18"/>
  <c r="N23" i="18"/>
  <c r="E23" i="18"/>
  <c r="N22" i="18"/>
  <c r="E22" i="18"/>
  <c r="N21" i="18"/>
  <c r="E21" i="18"/>
  <c r="N20" i="18"/>
  <c r="E20" i="18"/>
  <c r="N19" i="18"/>
  <c r="E19" i="18"/>
  <c r="N18" i="18"/>
  <c r="E18" i="18"/>
  <c r="N17" i="18"/>
  <c r="E17" i="18"/>
  <c r="N16" i="18"/>
  <c r="E16" i="18"/>
  <c r="N15" i="18"/>
  <c r="C15" i="18"/>
  <c r="N14" i="18"/>
  <c r="C14" i="18"/>
  <c r="N13" i="18"/>
  <c r="C13" i="18"/>
  <c r="N12" i="18"/>
  <c r="C12" i="18"/>
  <c r="N11" i="18"/>
  <c r="C11" i="18"/>
  <c r="N10" i="18"/>
  <c r="C10" i="18"/>
  <c r="B10" i="18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N9" i="18"/>
  <c r="C9" i="18"/>
  <c r="G5" i="18"/>
  <c r="N31" i="18" l="1"/>
  <c r="O2" i="18" s="1"/>
  <c r="E30" i="18"/>
  <c r="E21" i="16"/>
  <c r="E20" i="16"/>
  <c r="E19" i="16"/>
  <c r="E18" i="16"/>
  <c r="E17" i="16"/>
  <c r="E16" i="16"/>
  <c r="E15" i="16"/>
  <c r="E14" i="16"/>
  <c r="E9" i="16"/>
  <c r="E5" i="16"/>
  <c r="E4" i="16"/>
  <c r="E6" i="16"/>
  <c r="E7" i="16"/>
  <c r="E8" i="16"/>
  <c r="E10" i="16"/>
  <c r="E11" i="16"/>
  <c r="E12" i="16"/>
  <c r="E13" i="16"/>
  <c r="B4" i="16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E3" i="16"/>
  <c r="E7" i="11" l="1"/>
  <c r="N32" i="1"/>
  <c r="N12" i="1"/>
  <c r="E29" i="18" l="1"/>
  <c r="E14" i="18"/>
  <c r="D6" i="9"/>
  <c r="D14" i="9"/>
  <c r="D12" i="9"/>
  <c r="D8" i="9"/>
  <c r="D13" i="9"/>
  <c r="H18" i="9"/>
  <c r="D11" i="9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5" i="10"/>
  <c r="C6" i="10"/>
  <c r="C7" i="10"/>
  <c r="C8" i="10"/>
  <c r="F5" i="18" s="1"/>
  <c r="G8" i="18" s="1"/>
  <c r="H8" i="18" s="1"/>
  <c r="I8" i="18" s="1"/>
  <c r="J8" i="18" s="1"/>
  <c r="K8" i="18" s="1"/>
  <c r="L8" i="18" s="1"/>
  <c r="M8" i="18" s="1"/>
  <c r="C9" i="10"/>
  <c r="C10" i="10"/>
  <c r="C11" i="10"/>
  <c r="C12" i="10"/>
  <c r="C13" i="10"/>
  <c r="C14" i="10"/>
  <c r="C4" i="10"/>
  <c r="F7" i="1" s="1"/>
  <c r="E12" i="18" l="1"/>
  <c r="E13" i="18"/>
  <c r="E11" i="18"/>
  <c r="E10" i="18"/>
  <c r="E15" i="18"/>
  <c r="E9" i="18"/>
  <c r="F29" i="18"/>
  <c r="F28" i="18"/>
  <c r="F16" i="18"/>
  <c r="F17" i="18"/>
  <c r="F26" i="18"/>
  <c r="F20" i="18"/>
  <c r="F13" i="18"/>
  <c r="F30" i="18"/>
  <c r="F27" i="18"/>
  <c r="F18" i="18"/>
  <c r="F12" i="18"/>
  <c r="F22" i="18"/>
  <c r="F9" i="18"/>
  <c r="F10" i="18"/>
  <c r="F19" i="18"/>
  <c r="F14" i="18"/>
  <c r="F11" i="18"/>
  <c r="F24" i="18"/>
  <c r="F21" i="18"/>
  <c r="F23" i="18"/>
  <c r="F25" i="18"/>
  <c r="F15" i="18"/>
  <c r="J135" i="11" l="1"/>
  <c r="I135" i="11"/>
  <c r="G135" i="11"/>
  <c r="F135" i="11"/>
  <c r="J134" i="11"/>
  <c r="I134" i="11"/>
  <c r="G134" i="11"/>
  <c r="F134" i="11"/>
  <c r="J133" i="11"/>
  <c r="I133" i="11"/>
  <c r="G133" i="11"/>
  <c r="F133" i="11"/>
  <c r="J132" i="11"/>
  <c r="I132" i="11"/>
  <c r="G132" i="11"/>
  <c r="F132" i="11"/>
  <c r="J131" i="11"/>
  <c r="I131" i="11"/>
  <c r="G131" i="11"/>
  <c r="F131" i="11"/>
  <c r="J130" i="11"/>
  <c r="I130" i="11"/>
  <c r="G130" i="11"/>
  <c r="F130" i="11"/>
  <c r="J129" i="11"/>
  <c r="I129" i="11"/>
  <c r="G129" i="11"/>
  <c r="F129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J128" i="11"/>
  <c r="I128" i="11"/>
  <c r="G128" i="11"/>
  <c r="F128" i="11"/>
  <c r="J127" i="11"/>
  <c r="I127" i="11"/>
  <c r="G127" i="11"/>
  <c r="F127" i="11"/>
  <c r="J126" i="11"/>
  <c r="I126" i="11"/>
  <c r="G126" i="11"/>
  <c r="F126" i="11"/>
  <c r="J125" i="11"/>
  <c r="I125" i="11"/>
  <c r="G125" i="11"/>
  <c r="F125" i="11"/>
  <c r="J124" i="11"/>
  <c r="I124" i="11"/>
  <c r="G124" i="11"/>
  <c r="F124" i="11"/>
  <c r="J123" i="11"/>
  <c r="I123" i="11"/>
  <c r="G123" i="11"/>
  <c r="F123" i="11"/>
  <c r="J122" i="11"/>
  <c r="I122" i="11"/>
  <c r="G122" i="11"/>
  <c r="F122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J121" i="11"/>
  <c r="I121" i="11"/>
  <c r="G121" i="11"/>
  <c r="F121" i="11"/>
  <c r="J120" i="11"/>
  <c r="I120" i="11"/>
  <c r="G120" i="11"/>
  <c r="F120" i="11"/>
  <c r="J119" i="11"/>
  <c r="I119" i="11"/>
  <c r="G119" i="11"/>
  <c r="F119" i="11"/>
  <c r="J118" i="11"/>
  <c r="I118" i="11"/>
  <c r="G118" i="11"/>
  <c r="F118" i="11"/>
  <c r="J117" i="11"/>
  <c r="I117" i="11"/>
  <c r="G117" i="11"/>
  <c r="F117" i="11"/>
  <c r="J116" i="11"/>
  <c r="I116" i="11"/>
  <c r="G116" i="11"/>
  <c r="F116" i="11"/>
  <c r="J115" i="11"/>
  <c r="I115" i="11"/>
  <c r="G115" i="11"/>
  <c r="F115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J114" i="11"/>
  <c r="I114" i="11"/>
  <c r="G114" i="11"/>
  <c r="F114" i="11"/>
  <c r="J113" i="11"/>
  <c r="I113" i="11"/>
  <c r="G113" i="11"/>
  <c r="F113" i="11"/>
  <c r="J112" i="11"/>
  <c r="I112" i="11"/>
  <c r="G112" i="11"/>
  <c r="F112" i="11"/>
  <c r="J111" i="11"/>
  <c r="I111" i="11"/>
  <c r="G111" i="11"/>
  <c r="F111" i="11"/>
  <c r="J110" i="11"/>
  <c r="I110" i="11"/>
  <c r="G110" i="11"/>
  <c r="F110" i="11"/>
  <c r="J109" i="11"/>
  <c r="I109" i="11"/>
  <c r="G109" i="11"/>
  <c r="F109" i="11"/>
  <c r="J108" i="11"/>
  <c r="I108" i="11"/>
  <c r="G108" i="11"/>
  <c r="F108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J107" i="11"/>
  <c r="I107" i="11"/>
  <c r="G107" i="11"/>
  <c r="F107" i="11"/>
  <c r="J106" i="11"/>
  <c r="I106" i="11"/>
  <c r="G106" i="11"/>
  <c r="F106" i="11"/>
  <c r="J105" i="11"/>
  <c r="I105" i="11"/>
  <c r="G105" i="11"/>
  <c r="F105" i="11"/>
  <c r="J104" i="11"/>
  <c r="I104" i="11"/>
  <c r="G104" i="11"/>
  <c r="F104" i="11"/>
  <c r="J103" i="11"/>
  <c r="I103" i="11"/>
  <c r="G103" i="11"/>
  <c r="F103" i="11"/>
  <c r="J102" i="11"/>
  <c r="I102" i="11"/>
  <c r="G102" i="11"/>
  <c r="F102" i="11"/>
  <c r="J101" i="11"/>
  <c r="I101" i="11"/>
  <c r="G101" i="11"/>
  <c r="F101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J100" i="11"/>
  <c r="I100" i="11"/>
  <c r="G100" i="11"/>
  <c r="F100" i="11"/>
  <c r="J99" i="11"/>
  <c r="I99" i="11"/>
  <c r="G99" i="11"/>
  <c r="F99" i="11"/>
  <c r="J98" i="11"/>
  <c r="I98" i="11"/>
  <c r="G98" i="11"/>
  <c r="F98" i="11"/>
  <c r="J97" i="11"/>
  <c r="I97" i="11"/>
  <c r="G97" i="11"/>
  <c r="F97" i="11"/>
  <c r="J96" i="11"/>
  <c r="I96" i="11"/>
  <c r="G96" i="11"/>
  <c r="F96" i="11"/>
  <c r="J95" i="11"/>
  <c r="I95" i="11"/>
  <c r="G95" i="11"/>
  <c r="F95" i="11"/>
  <c r="J94" i="11"/>
  <c r="I94" i="11"/>
  <c r="G94" i="11"/>
  <c r="F94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J93" i="11"/>
  <c r="I93" i="11"/>
  <c r="G93" i="11"/>
  <c r="F93" i="11"/>
  <c r="J92" i="11"/>
  <c r="I92" i="11"/>
  <c r="G92" i="11"/>
  <c r="F92" i="11"/>
  <c r="J91" i="11"/>
  <c r="I91" i="11"/>
  <c r="G91" i="11"/>
  <c r="F91" i="11"/>
  <c r="J90" i="11"/>
  <c r="I90" i="11"/>
  <c r="G90" i="11"/>
  <c r="F90" i="11"/>
  <c r="J89" i="11"/>
  <c r="I89" i="11"/>
  <c r="G89" i="11"/>
  <c r="F89" i="11"/>
  <c r="J88" i="11"/>
  <c r="I88" i="11"/>
  <c r="G88" i="11"/>
  <c r="F88" i="11"/>
  <c r="J87" i="11"/>
  <c r="I87" i="11"/>
  <c r="G87" i="11"/>
  <c r="F87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J86" i="11"/>
  <c r="I86" i="11"/>
  <c r="G86" i="11"/>
  <c r="F86" i="11"/>
  <c r="J85" i="11"/>
  <c r="I85" i="11"/>
  <c r="G85" i="11"/>
  <c r="F85" i="11"/>
  <c r="J84" i="11"/>
  <c r="I84" i="11"/>
  <c r="G84" i="11"/>
  <c r="F84" i="11"/>
  <c r="J83" i="11"/>
  <c r="I83" i="11"/>
  <c r="G83" i="11"/>
  <c r="F83" i="11"/>
  <c r="J82" i="11"/>
  <c r="I82" i="11"/>
  <c r="G82" i="11"/>
  <c r="F82" i="11"/>
  <c r="J81" i="11"/>
  <c r="I81" i="11"/>
  <c r="G81" i="11"/>
  <c r="F81" i="11"/>
  <c r="J80" i="11"/>
  <c r="I80" i="11"/>
  <c r="G80" i="11"/>
  <c r="F80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J79" i="11"/>
  <c r="I79" i="11"/>
  <c r="G79" i="11"/>
  <c r="F79" i="11"/>
  <c r="J78" i="11"/>
  <c r="I78" i="11"/>
  <c r="G78" i="11"/>
  <c r="F78" i="11"/>
  <c r="J77" i="11"/>
  <c r="I77" i="11"/>
  <c r="G77" i="11"/>
  <c r="F77" i="11"/>
  <c r="J76" i="11"/>
  <c r="I76" i="11"/>
  <c r="G76" i="11"/>
  <c r="F76" i="11"/>
  <c r="J75" i="11"/>
  <c r="I75" i="11"/>
  <c r="G75" i="11"/>
  <c r="F75" i="11"/>
  <c r="J74" i="11"/>
  <c r="I74" i="11"/>
  <c r="G74" i="11"/>
  <c r="F74" i="11"/>
  <c r="J73" i="11"/>
  <c r="I73" i="11"/>
  <c r="G73" i="11"/>
  <c r="F73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J72" i="11"/>
  <c r="I72" i="11"/>
  <c r="G72" i="11"/>
  <c r="F72" i="11"/>
  <c r="J71" i="11"/>
  <c r="I71" i="11"/>
  <c r="G71" i="11"/>
  <c r="F71" i="11"/>
  <c r="J70" i="11"/>
  <c r="I70" i="11"/>
  <c r="G70" i="11"/>
  <c r="F70" i="11"/>
  <c r="J69" i="11"/>
  <c r="I69" i="11"/>
  <c r="G69" i="11"/>
  <c r="F69" i="11"/>
  <c r="J68" i="11"/>
  <c r="I68" i="11"/>
  <c r="G68" i="11"/>
  <c r="F68" i="11"/>
  <c r="J67" i="11"/>
  <c r="I67" i="11"/>
  <c r="G67" i="11"/>
  <c r="F67" i="11"/>
  <c r="J66" i="11"/>
  <c r="I66" i="11"/>
  <c r="G66" i="11"/>
  <c r="F66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N27" i="1"/>
  <c r="H120" i="11"/>
  <c r="N28" i="1"/>
  <c r="H128" i="11"/>
  <c r="N29" i="1"/>
  <c r="H134" i="11"/>
  <c r="N23" i="1"/>
  <c r="H92" i="11"/>
  <c r="N24" i="1"/>
  <c r="H100" i="11"/>
  <c r="N25" i="1"/>
  <c r="H107" i="11"/>
  <c r="N26" i="1"/>
  <c r="H114" i="11"/>
  <c r="N20" i="1"/>
  <c r="H72" i="11"/>
  <c r="N21" i="1"/>
  <c r="H79" i="11"/>
  <c r="N22" i="1"/>
  <c r="H86" i="11"/>
  <c r="J65" i="11"/>
  <c r="I65" i="11"/>
  <c r="G65" i="11"/>
  <c r="F65" i="11"/>
  <c r="J64" i="11"/>
  <c r="I64" i="11"/>
  <c r="G64" i="11"/>
  <c r="F64" i="11"/>
  <c r="J63" i="11"/>
  <c r="I63" i="11"/>
  <c r="G63" i="11"/>
  <c r="F63" i="11"/>
  <c r="J62" i="11"/>
  <c r="I62" i="11"/>
  <c r="G62" i="11"/>
  <c r="F62" i="11"/>
  <c r="J61" i="11"/>
  <c r="I61" i="11"/>
  <c r="G61" i="11"/>
  <c r="F61" i="11"/>
  <c r="J60" i="11"/>
  <c r="I60" i="11"/>
  <c r="G60" i="11"/>
  <c r="F60" i="11"/>
  <c r="J59" i="11"/>
  <c r="I59" i="11"/>
  <c r="G59" i="11"/>
  <c r="F59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I58" i="11"/>
  <c r="I57" i="11"/>
  <c r="I56" i="11"/>
  <c r="I55" i="11"/>
  <c r="I54" i="11"/>
  <c r="I53" i="11"/>
  <c r="I52" i="11"/>
  <c r="J58" i="11"/>
  <c r="G58" i="11"/>
  <c r="F58" i="11"/>
  <c r="J57" i="11"/>
  <c r="G57" i="11"/>
  <c r="F57" i="11"/>
  <c r="J56" i="11"/>
  <c r="G56" i="11"/>
  <c r="F56" i="11"/>
  <c r="J55" i="11"/>
  <c r="G55" i="11"/>
  <c r="F55" i="11"/>
  <c r="J54" i="11"/>
  <c r="G54" i="11"/>
  <c r="F54" i="11"/>
  <c r="J53" i="11"/>
  <c r="G53" i="11"/>
  <c r="F53" i="11"/>
  <c r="J52" i="11"/>
  <c r="G52" i="11"/>
  <c r="F52" i="11"/>
  <c r="J142" i="11"/>
  <c r="J141" i="11"/>
  <c r="J140" i="11"/>
  <c r="J139" i="11"/>
  <c r="J138" i="11"/>
  <c r="J137" i="11"/>
  <c r="J136" i="11"/>
  <c r="C58" i="11"/>
  <c r="A58" i="11"/>
  <c r="C57" i="11"/>
  <c r="A57" i="11"/>
  <c r="C56" i="11"/>
  <c r="A56" i="11"/>
  <c r="C55" i="11"/>
  <c r="A55" i="11"/>
  <c r="C54" i="11"/>
  <c r="A54" i="11"/>
  <c r="C53" i="11"/>
  <c r="A53" i="11"/>
  <c r="C52" i="11"/>
  <c r="A52" i="11"/>
  <c r="J51" i="11"/>
  <c r="J50" i="11"/>
  <c r="J49" i="11"/>
  <c r="J48" i="11"/>
  <c r="J47" i="11"/>
  <c r="J46" i="11"/>
  <c r="J45" i="11"/>
  <c r="J20" i="11"/>
  <c r="J44" i="11"/>
  <c r="J43" i="11"/>
  <c r="J24" i="11"/>
  <c r="J42" i="11"/>
  <c r="J41" i="11"/>
  <c r="J40" i="11"/>
  <c r="J39" i="11"/>
  <c r="J19" i="11"/>
  <c r="J18" i="11"/>
  <c r="J23" i="11"/>
  <c r="J38" i="11"/>
  <c r="J37" i="11"/>
  <c r="J36" i="11"/>
  <c r="N18" i="1"/>
  <c r="H58" i="11"/>
  <c r="N19" i="1"/>
  <c r="H64" i="11"/>
  <c r="J26" i="11"/>
  <c r="J22" i="11"/>
  <c r="J27" i="11"/>
  <c r="J35" i="11"/>
  <c r="J15" i="11"/>
  <c r="J34" i="11"/>
  <c r="J33" i="11"/>
  <c r="J2" i="11"/>
  <c r="J25" i="11"/>
  <c r="J17" i="11"/>
  <c r="J3" i="11"/>
  <c r="J5" i="11"/>
  <c r="J32" i="11"/>
  <c r="J31" i="11"/>
  <c r="J10" i="11"/>
  <c r="J11" i="11"/>
  <c r="J12" i="11"/>
  <c r="J13" i="11"/>
  <c r="J9" i="11"/>
  <c r="J21" i="11"/>
  <c r="J30" i="11"/>
  <c r="J8" i="11"/>
  <c r="J7" i="11"/>
  <c r="J4" i="11"/>
  <c r="J14" i="11"/>
  <c r="J6" i="11"/>
  <c r="J28" i="11"/>
  <c r="J16" i="11"/>
  <c r="H2" i="11"/>
  <c r="H10" i="11"/>
  <c r="I2" i="11"/>
  <c r="I25" i="11"/>
  <c r="I10" i="11"/>
  <c r="I11" i="11"/>
  <c r="I8" i="11"/>
  <c r="I7" i="11"/>
  <c r="G142" i="11"/>
  <c r="F142" i="11"/>
  <c r="G141" i="11"/>
  <c r="F141" i="11"/>
  <c r="G51" i="11"/>
  <c r="F51" i="11"/>
  <c r="G50" i="11"/>
  <c r="F50" i="11"/>
  <c r="G20" i="11"/>
  <c r="F20" i="11"/>
  <c r="G44" i="11"/>
  <c r="F44" i="11"/>
  <c r="G39" i="11"/>
  <c r="F39" i="11"/>
  <c r="G19" i="11"/>
  <c r="F19" i="11"/>
  <c r="G26" i="11"/>
  <c r="F26" i="11"/>
  <c r="G22" i="11"/>
  <c r="F22" i="11"/>
  <c r="G2" i="11"/>
  <c r="F2" i="11"/>
  <c r="G25" i="11"/>
  <c r="F25" i="11"/>
  <c r="G10" i="11"/>
  <c r="F10" i="11"/>
  <c r="G11" i="11"/>
  <c r="F11" i="11"/>
  <c r="G8" i="11"/>
  <c r="F8" i="11"/>
  <c r="E8" i="11"/>
  <c r="G7" i="11"/>
  <c r="F7" i="11"/>
  <c r="C142" i="11"/>
  <c r="A142" i="11"/>
  <c r="C141" i="11"/>
  <c r="A141" i="11"/>
  <c r="C51" i="11"/>
  <c r="A51" i="11"/>
  <c r="C50" i="11"/>
  <c r="A50" i="11"/>
  <c r="C20" i="11"/>
  <c r="A20" i="11"/>
  <c r="C44" i="11"/>
  <c r="A44" i="11"/>
  <c r="C39" i="11"/>
  <c r="A39" i="11"/>
  <c r="C19" i="11"/>
  <c r="A19" i="11"/>
  <c r="C26" i="11"/>
  <c r="A26" i="11"/>
  <c r="C22" i="11"/>
  <c r="A22" i="11"/>
  <c r="C2" i="11"/>
  <c r="A2" i="11"/>
  <c r="C25" i="11"/>
  <c r="A25" i="11"/>
  <c r="C10" i="11"/>
  <c r="A10" i="11"/>
  <c r="C11" i="11"/>
  <c r="A11" i="11"/>
  <c r="C8" i="11"/>
  <c r="A8" i="11"/>
  <c r="C7" i="11"/>
  <c r="A7" i="11"/>
  <c r="I148" i="11"/>
  <c r="I147" i="11"/>
  <c r="H148" i="11"/>
  <c r="H147" i="11"/>
  <c r="G148" i="11"/>
  <c r="G147" i="11"/>
  <c r="E148" i="11"/>
  <c r="E147" i="11"/>
  <c r="C148" i="11"/>
  <c r="A148" i="11"/>
  <c r="C147" i="11"/>
  <c r="A147" i="11"/>
  <c r="I155" i="11"/>
  <c r="I154" i="11"/>
  <c r="H155" i="11"/>
  <c r="G155" i="11"/>
  <c r="E155" i="11"/>
  <c r="C155" i="11"/>
  <c r="A155" i="11"/>
  <c r="H154" i="11"/>
  <c r="G154" i="11"/>
  <c r="E154" i="11"/>
  <c r="C154" i="11"/>
  <c r="A154" i="11"/>
  <c r="I26" i="11"/>
  <c r="I19" i="11"/>
  <c r="I22" i="11"/>
  <c r="I44" i="11"/>
  <c r="I39" i="11"/>
  <c r="I20" i="11"/>
  <c r="I50" i="11"/>
  <c r="G7" i="1"/>
  <c r="I51" i="11"/>
  <c r="I141" i="11"/>
  <c r="A16" i="11"/>
  <c r="I146" i="11"/>
  <c r="I145" i="11"/>
  <c r="I144" i="11"/>
  <c r="I143" i="11"/>
  <c r="I29" i="11"/>
  <c r="H146" i="11"/>
  <c r="H145" i="11"/>
  <c r="H144" i="11"/>
  <c r="H143" i="11"/>
  <c r="H29" i="11"/>
  <c r="G146" i="11"/>
  <c r="G145" i="11"/>
  <c r="G144" i="11"/>
  <c r="G143" i="11"/>
  <c r="G29" i="11"/>
  <c r="E146" i="11"/>
  <c r="E145" i="11"/>
  <c r="E144" i="11"/>
  <c r="E143" i="11"/>
  <c r="E29" i="11"/>
  <c r="C146" i="11"/>
  <c r="A146" i="11"/>
  <c r="C145" i="11"/>
  <c r="A145" i="11"/>
  <c r="C144" i="11"/>
  <c r="A144" i="11"/>
  <c r="C143" i="11"/>
  <c r="A143" i="11"/>
  <c r="C29" i="11"/>
  <c r="A29" i="11"/>
  <c r="I153" i="11"/>
  <c r="I152" i="11"/>
  <c r="I151" i="11"/>
  <c r="I150" i="11"/>
  <c r="I149" i="11"/>
  <c r="H153" i="11"/>
  <c r="H152" i="11"/>
  <c r="H151" i="11"/>
  <c r="H150" i="11"/>
  <c r="H149" i="11"/>
  <c r="G153" i="11"/>
  <c r="G152" i="11"/>
  <c r="G151" i="11"/>
  <c r="G150" i="11"/>
  <c r="G149" i="11"/>
  <c r="E153" i="11"/>
  <c r="E152" i="11"/>
  <c r="E151" i="11"/>
  <c r="E150" i="11"/>
  <c r="E149" i="11"/>
  <c r="C153" i="11"/>
  <c r="A153" i="11"/>
  <c r="C152" i="11"/>
  <c r="A152" i="11"/>
  <c r="C151" i="11"/>
  <c r="A151" i="11"/>
  <c r="C150" i="11"/>
  <c r="A150" i="11"/>
  <c r="C149" i="11"/>
  <c r="A149" i="11"/>
  <c r="I15" i="11"/>
  <c r="I32" i="11"/>
  <c r="I12" i="11"/>
  <c r="I13" i="11"/>
  <c r="I3" i="11"/>
  <c r="I5" i="11"/>
  <c r="I9" i="11"/>
  <c r="I21" i="11"/>
  <c r="I30" i="11"/>
  <c r="I4" i="11"/>
  <c r="I14" i="11"/>
  <c r="I6" i="11"/>
  <c r="I28" i="11"/>
  <c r="I16" i="11"/>
  <c r="G140" i="11"/>
  <c r="F140" i="11"/>
  <c r="G139" i="11"/>
  <c r="F139" i="11"/>
  <c r="G138" i="11"/>
  <c r="F138" i="11"/>
  <c r="G137" i="11"/>
  <c r="F137" i="11"/>
  <c r="G136" i="11"/>
  <c r="F136" i="11"/>
  <c r="G49" i="11"/>
  <c r="F49" i="11"/>
  <c r="G48" i="11"/>
  <c r="F48" i="11"/>
  <c r="G47" i="11"/>
  <c r="F47" i="11"/>
  <c r="G46" i="11"/>
  <c r="F46" i="11"/>
  <c r="G45" i="11"/>
  <c r="F45" i="11"/>
  <c r="G43" i="11"/>
  <c r="F43" i="11"/>
  <c r="G24" i="11"/>
  <c r="F24" i="11"/>
  <c r="G42" i="11"/>
  <c r="F42" i="11"/>
  <c r="G41" i="11"/>
  <c r="F41" i="11"/>
  <c r="G40" i="11"/>
  <c r="F40" i="11"/>
  <c r="G18" i="11"/>
  <c r="F18" i="11"/>
  <c r="G23" i="11"/>
  <c r="F23" i="11"/>
  <c r="G38" i="11"/>
  <c r="F38" i="11"/>
  <c r="G37" i="11"/>
  <c r="F37" i="11"/>
  <c r="G36" i="11"/>
  <c r="F36" i="11"/>
  <c r="G27" i="11"/>
  <c r="F27" i="11"/>
  <c r="G35" i="11"/>
  <c r="F35" i="11"/>
  <c r="G15" i="11"/>
  <c r="F15" i="11"/>
  <c r="G34" i="11"/>
  <c r="F34" i="11"/>
  <c r="G33" i="11"/>
  <c r="F33" i="11"/>
  <c r="G17" i="11"/>
  <c r="F17" i="11"/>
  <c r="G3" i="11"/>
  <c r="F3" i="11"/>
  <c r="G5" i="11"/>
  <c r="F5" i="11"/>
  <c r="G32" i="11"/>
  <c r="F32" i="11"/>
  <c r="G31" i="11"/>
  <c r="F31" i="11"/>
  <c r="G12" i="11"/>
  <c r="F12" i="11"/>
  <c r="G13" i="11"/>
  <c r="F13" i="11"/>
  <c r="G9" i="11"/>
  <c r="F9" i="11"/>
  <c r="G21" i="11"/>
  <c r="F21" i="11"/>
  <c r="G30" i="11"/>
  <c r="F30" i="11"/>
  <c r="G4" i="11"/>
  <c r="F4" i="11"/>
  <c r="G14" i="11"/>
  <c r="F14" i="11"/>
  <c r="G6" i="11"/>
  <c r="F6" i="11"/>
  <c r="G28" i="11"/>
  <c r="F28" i="11"/>
  <c r="G16" i="11"/>
  <c r="F16" i="11"/>
  <c r="E4" i="11"/>
  <c r="E14" i="11"/>
  <c r="E6" i="11"/>
  <c r="E28" i="11"/>
  <c r="E16" i="11"/>
  <c r="C140" i="11"/>
  <c r="C139" i="11"/>
  <c r="C138" i="11"/>
  <c r="C137" i="11"/>
  <c r="C136" i="11"/>
  <c r="C49" i="11"/>
  <c r="C48" i="11"/>
  <c r="C47" i="11"/>
  <c r="C46" i="11"/>
  <c r="C45" i="11"/>
  <c r="C43" i="11"/>
  <c r="C24" i="11"/>
  <c r="C42" i="11"/>
  <c r="C41" i="11"/>
  <c r="C40" i="11"/>
  <c r="C18" i="11"/>
  <c r="C23" i="11"/>
  <c r="C38" i="11"/>
  <c r="C37" i="11"/>
  <c r="C36" i="11"/>
  <c r="C27" i="11"/>
  <c r="C35" i="11"/>
  <c r="C15" i="11"/>
  <c r="C34" i="11"/>
  <c r="C33" i="11"/>
  <c r="C17" i="11"/>
  <c r="C3" i="11"/>
  <c r="C5" i="11"/>
  <c r="C32" i="11"/>
  <c r="C31" i="11"/>
  <c r="C12" i="11"/>
  <c r="C13" i="11"/>
  <c r="C9" i="11"/>
  <c r="C21" i="11"/>
  <c r="C30" i="11"/>
  <c r="C4" i="11"/>
  <c r="C14" i="11"/>
  <c r="C6" i="11"/>
  <c r="C28" i="11"/>
  <c r="C16" i="11"/>
  <c r="A140" i="11"/>
  <c r="A139" i="11"/>
  <c r="A138" i="11"/>
  <c r="A137" i="11"/>
  <c r="A136" i="11"/>
  <c r="A49" i="11"/>
  <c r="A48" i="11"/>
  <c r="A47" i="11"/>
  <c r="A46" i="11"/>
  <c r="A45" i="11"/>
  <c r="A43" i="11"/>
  <c r="A24" i="11"/>
  <c r="A42" i="11"/>
  <c r="A41" i="11"/>
  <c r="A40" i="11"/>
  <c r="A18" i="11"/>
  <c r="A23" i="11"/>
  <c r="A38" i="11"/>
  <c r="A37" i="11"/>
  <c r="A36" i="11"/>
  <c r="A27" i="11"/>
  <c r="A35" i="11"/>
  <c r="A15" i="11"/>
  <c r="A34" i="11"/>
  <c r="A33" i="11"/>
  <c r="A17" i="11"/>
  <c r="A3" i="11"/>
  <c r="A5" i="11"/>
  <c r="A32" i="11"/>
  <c r="A31" i="11"/>
  <c r="A12" i="11"/>
  <c r="A13" i="11"/>
  <c r="A9" i="11"/>
  <c r="A21" i="11"/>
  <c r="A30" i="11"/>
  <c r="A4" i="11"/>
  <c r="A14" i="11"/>
  <c r="A6" i="11"/>
  <c r="A28" i="11"/>
  <c r="I142" i="11"/>
  <c r="I35" i="11"/>
  <c r="I37" i="11"/>
  <c r="I42" i="11"/>
  <c r="I33" i="11"/>
  <c r="I27" i="11"/>
  <c r="I31" i="11"/>
  <c r="I34" i="11"/>
  <c r="I38" i="11"/>
  <c r="I17" i="11"/>
  <c r="H7" i="11"/>
  <c r="I18" i="11"/>
  <c r="I41" i="11"/>
  <c r="I23" i="11"/>
  <c r="I36" i="11"/>
  <c r="I47" i="11"/>
  <c r="I40" i="11"/>
  <c r="I138" i="11"/>
  <c r="I24" i="11"/>
  <c r="I46" i="11"/>
  <c r="I43" i="11"/>
  <c r="I48" i="11"/>
  <c r="I49" i="11"/>
  <c r="I137" i="11"/>
  <c r="I45" i="11"/>
  <c r="H142" i="11"/>
  <c r="H49" i="11"/>
  <c r="H20" i="11"/>
  <c r="H37" i="11"/>
  <c r="H22" i="11"/>
  <c r="M33" i="1"/>
  <c r="N31" i="1"/>
  <c r="N17" i="1"/>
  <c r="N16" i="1"/>
  <c r="N15" i="1"/>
  <c r="N14" i="1"/>
  <c r="N13" i="1"/>
  <c r="N11" i="1"/>
  <c r="I33" i="1"/>
  <c r="I139" i="11"/>
  <c r="I140" i="11"/>
  <c r="N30" i="1"/>
  <c r="I136" i="11"/>
  <c r="G33" i="1"/>
  <c r="H33" i="1"/>
  <c r="L33" i="1"/>
  <c r="J147" i="11"/>
  <c r="K33" i="1"/>
  <c r="J33" i="1"/>
  <c r="J152" i="11" l="1"/>
  <c r="E30" i="11"/>
  <c r="N135" i="11"/>
  <c r="M135" i="11"/>
  <c r="N37" i="11"/>
  <c r="M37" i="11"/>
  <c r="N38" i="11"/>
  <c r="M38" i="11"/>
  <c r="N141" i="11"/>
  <c r="M141" i="11"/>
  <c r="K151" i="11"/>
  <c r="N146" i="11"/>
  <c r="M146" i="11"/>
  <c r="N136" i="11"/>
  <c r="M136" i="11"/>
  <c r="K152" i="11"/>
  <c r="N143" i="11"/>
  <c r="M143" i="11"/>
  <c r="M29" i="11"/>
  <c r="N29" i="11" s="1"/>
  <c r="N155" i="11"/>
  <c r="M155" i="11"/>
  <c r="N51" i="11"/>
  <c r="M51" i="11"/>
  <c r="N139" i="11"/>
  <c r="M139" i="11"/>
  <c r="N48" i="11"/>
  <c r="M48" i="11"/>
  <c r="N40" i="11"/>
  <c r="M40" i="11"/>
  <c r="E12" i="11"/>
  <c r="K149" i="11"/>
  <c r="N149" i="11"/>
  <c r="M149" i="11"/>
  <c r="K153" i="11"/>
  <c r="L153" i="11" s="1"/>
  <c r="N144" i="11"/>
  <c r="M144" i="11"/>
  <c r="N140" i="11"/>
  <c r="M140" i="11"/>
  <c r="N43" i="11"/>
  <c r="M43" i="11"/>
  <c r="E10" i="11"/>
  <c r="N52" i="11"/>
  <c r="M52" i="11"/>
  <c r="N56" i="11"/>
  <c r="M56" i="11"/>
  <c r="N65" i="11"/>
  <c r="M65" i="11"/>
  <c r="N66" i="11"/>
  <c r="M66" i="11"/>
  <c r="N67" i="11"/>
  <c r="M67" i="11"/>
  <c r="N68" i="11"/>
  <c r="M68" i="11"/>
  <c r="N69" i="11"/>
  <c r="M69" i="11"/>
  <c r="N70" i="11"/>
  <c r="M70" i="11"/>
  <c r="N71" i="11"/>
  <c r="M71" i="11"/>
  <c r="N79" i="11"/>
  <c r="M79" i="11"/>
  <c r="N80" i="11"/>
  <c r="M80" i="11"/>
  <c r="N81" i="11"/>
  <c r="M81" i="11"/>
  <c r="N82" i="11"/>
  <c r="M82" i="11"/>
  <c r="N83" i="11"/>
  <c r="M83" i="11"/>
  <c r="N84" i="11"/>
  <c r="M84" i="11"/>
  <c r="N85" i="11"/>
  <c r="M85" i="11"/>
  <c r="N93" i="11"/>
  <c r="M93" i="11"/>
  <c r="M94" i="11"/>
  <c r="N94" i="11"/>
  <c r="N95" i="11"/>
  <c r="M95" i="11"/>
  <c r="N96" i="11"/>
  <c r="M96" i="11"/>
  <c r="N97" i="11"/>
  <c r="M97" i="11"/>
  <c r="N98" i="11"/>
  <c r="M98" i="11"/>
  <c r="N99" i="11"/>
  <c r="M99" i="11"/>
  <c r="N107" i="11"/>
  <c r="M107" i="11"/>
  <c r="N108" i="11"/>
  <c r="M108" i="11"/>
  <c r="N109" i="11"/>
  <c r="M109" i="11"/>
  <c r="M110" i="11"/>
  <c r="N110" i="11"/>
  <c r="N111" i="11"/>
  <c r="M111" i="11"/>
  <c r="N112" i="11"/>
  <c r="M112" i="11"/>
  <c r="N113" i="11"/>
  <c r="M113" i="11"/>
  <c r="N121" i="11"/>
  <c r="M121" i="11"/>
  <c r="N122" i="11"/>
  <c r="M122" i="11"/>
  <c r="N123" i="11"/>
  <c r="M123" i="11"/>
  <c r="N124" i="11"/>
  <c r="M124" i="11"/>
  <c r="N125" i="11"/>
  <c r="M125" i="11"/>
  <c r="N126" i="11"/>
  <c r="M126" i="11"/>
  <c r="N127" i="11"/>
  <c r="M127" i="11"/>
  <c r="N138" i="11"/>
  <c r="M138" i="11"/>
  <c r="N137" i="11"/>
  <c r="M137" i="11"/>
  <c r="N150" i="11"/>
  <c r="M150" i="11"/>
  <c r="K145" i="11"/>
  <c r="L145" i="11" s="1"/>
  <c r="N145" i="11"/>
  <c r="M145" i="11"/>
  <c r="M50" i="11"/>
  <c r="N50" i="11"/>
  <c r="N57" i="11"/>
  <c r="M57" i="11"/>
  <c r="N154" i="11"/>
  <c r="M154" i="11"/>
  <c r="N147" i="11"/>
  <c r="M147" i="11"/>
  <c r="N58" i="11"/>
  <c r="M58" i="11"/>
  <c r="N59" i="11"/>
  <c r="M59" i="11"/>
  <c r="N60" i="11"/>
  <c r="M60" i="11"/>
  <c r="N61" i="11"/>
  <c r="M61" i="11"/>
  <c r="N62" i="11"/>
  <c r="M62" i="11"/>
  <c r="N64" i="11"/>
  <c r="M64" i="11"/>
  <c r="N72" i="11"/>
  <c r="M72" i="11"/>
  <c r="N73" i="11"/>
  <c r="M73" i="11"/>
  <c r="N74" i="11"/>
  <c r="M74" i="11"/>
  <c r="N75" i="11"/>
  <c r="M75" i="11"/>
  <c r="N76" i="11"/>
  <c r="M76" i="11"/>
  <c r="N77" i="11"/>
  <c r="M77" i="11"/>
  <c r="M78" i="11"/>
  <c r="N78" i="11"/>
  <c r="M86" i="11"/>
  <c r="N86" i="11"/>
  <c r="N87" i="11"/>
  <c r="M87" i="11"/>
  <c r="N88" i="11"/>
  <c r="M88" i="11"/>
  <c r="N89" i="11"/>
  <c r="M89" i="11"/>
  <c r="N90" i="11"/>
  <c r="M90" i="11"/>
  <c r="N91" i="11"/>
  <c r="M91" i="11"/>
  <c r="N92" i="11"/>
  <c r="M92" i="11"/>
  <c r="N100" i="11"/>
  <c r="M100" i="11"/>
  <c r="N101" i="11"/>
  <c r="M101" i="11"/>
  <c r="M102" i="11"/>
  <c r="N102" i="11"/>
  <c r="N103" i="11"/>
  <c r="M103" i="11"/>
  <c r="N104" i="11"/>
  <c r="M104" i="11"/>
  <c r="N105" i="11"/>
  <c r="M105" i="11"/>
  <c r="N106" i="11"/>
  <c r="M106" i="11"/>
  <c r="N114" i="11"/>
  <c r="M114" i="11"/>
  <c r="N115" i="11"/>
  <c r="M115" i="11"/>
  <c r="N116" i="11"/>
  <c r="M116" i="11"/>
  <c r="N117" i="11"/>
  <c r="M117" i="11"/>
  <c r="M118" i="11"/>
  <c r="N118" i="11"/>
  <c r="N119" i="11"/>
  <c r="M119" i="11"/>
  <c r="N120" i="11"/>
  <c r="M120" i="11"/>
  <c r="N128" i="11"/>
  <c r="M128" i="11"/>
  <c r="N129" i="11"/>
  <c r="M129" i="11"/>
  <c r="N130" i="11"/>
  <c r="M130" i="11"/>
  <c r="N131" i="11"/>
  <c r="M131" i="11"/>
  <c r="N132" i="11"/>
  <c r="M132" i="11"/>
  <c r="N133" i="11"/>
  <c r="M133" i="11"/>
  <c r="N134" i="11"/>
  <c r="M134" i="11"/>
  <c r="K136" i="11"/>
  <c r="K137" i="11"/>
  <c r="K143" i="11"/>
  <c r="L143" i="11" s="1"/>
  <c r="K55" i="11"/>
  <c r="K59" i="11"/>
  <c r="K60" i="11"/>
  <c r="K61" i="11"/>
  <c r="K62" i="11"/>
  <c r="K63" i="11"/>
  <c r="M63" i="11" s="1"/>
  <c r="N63" i="11" s="1"/>
  <c r="K64" i="11"/>
  <c r="K65" i="11"/>
  <c r="K73" i="11"/>
  <c r="K74" i="11"/>
  <c r="K75" i="11"/>
  <c r="K76" i="11"/>
  <c r="K77" i="11"/>
  <c r="K78" i="11"/>
  <c r="K79" i="11"/>
  <c r="K87" i="11"/>
  <c r="K88" i="11"/>
  <c r="K89" i="11"/>
  <c r="K90" i="11"/>
  <c r="K91" i="11"/>
  <c r="K92" i="11"/>
  <c r="K93" i="11"/>
  <c r="K101" i="11"/>
  <c r="K102" i="11"/>
  <c r="K103" i="11"/>
  <c r="K104" i="11"/>
  <c r="K105" i="11"/>
  <c r="K106" i="11"/>
  <c r="K107" i="11"/>
  <c r="K115" i="11"/>
  <c r="K116" i="11"/>
  <c r="K117" i="11"/>
  <c r="K118" i="11"/>
  <c r="K119" i="11"/>
  <c r="K120" i="11"/>
  <c r="K121" i="11"/>
  <c r="K129" i="11"/>
  <c r="K130" i="11"/>
  <c r="K131" i="11"/>
  <c r="K132" i="11"/>
  <c r="K133" i="11"/>
  <c r="K134" i="11"/>
  <c r="K135" i="11"/>
  <c r="K144" i="11"/>
  <c r="L144" i="11" s="1"/>
  <c r="K141" i="11"/>
  <c r="K52" i="11"/>
  <c r="K56" i="11"/>
  <c r="K140" i="11"/>
  <c r="K139" i="11"/>
  <c r="K138" i="11"/>
  <c r="K150" i="11"/>
  <c r="L150" i="11" s="1"/>
  <c r="K154" i="11"/>
  <c r="L154" i="11" s="1"/>
  <c r="K147" i="11"/>
  <c r="L147" i="11" s="1"/>
  <c r="K53" i="11"/>
  <c r="K57" i="11"/>
  <c r="K66" i="11"/>
  <c r="L65" i="11" s="1"/>
  <c r="K67" i="11"/>
  <c r="K68" i="11"/>
  <c r="K69" i="11"/>
  <c r="K70" i="11"/>
  <c r="K71" i="11"/>
  <c r="K72" i="11"/>
  <c r="K80" i="11"/>
  <c r="L79" i="11" s="1"/>
  <c r="K81" i="11"/>
  <c r="K82" i="11"/>
  <c r="K83" i="11"/>
  <c r="K84" i="11"/>
  <c r="K85" i="11"/>
  <c r="K86" i="11"/>
  <c r="K94" i="11"/>
  <c r="K95" i="11"/>
  <c r="K96" i="11"/>
  <c r="K97" i="11"/>
  <c r="K98" i="11"/>
  <c r="K99" i="11"/>
  <c r="K100" i="11"/>
  <c r="K108" i="11"/>
  <c r="L107" i="11" s="1"/>
  <c r="K109" i="11"/>
  <c r="K110" i="11"/>
  <c r="K111" i="11"/>
  <c r="K112" i="11"/>
  <c r="K113" i="11"/>
  <c r="K114" i="11"/>
  <c r="K122" i="11"/>
  <c r="L121" i="11" s="1"/>
  <c r="K123" i="11"/>
  <c r="K124" i="11"/>
  <c r="K125" i="11"/>
  <c r="K126" i="11"/>
  <c r="K127" i="11"/>
  <c r="K128" i="11"/>
  <c r="K142" i="11"/>
  <c r="K146" i="11"/>
  <c r="L146" i="11" s="1"/>
  <c r="K155" i="11"/>
  <c r="L155" i="11" s="1"/>
  <c r="K148" i="11"/>
  <c r="L148" i="11" s="1"/>
  <c r="K54" i="11"/>
  <c r="K58" i="11"/>
  <c r="K50" i="11"/>
  <c r="K51" i="11"/>
  <c r="K48" i="11"/>
  <c r="K45" i="11"/>
  <c r="K42" i="11"/>
  <c r="K44" i="11"/>
  <c r="K40" i="11"/>
  <c r="K39" i="11"/>
  <c r="E25" i="11"/>
  <c r="E5" i="11"/>
  <c r="E17" i="11"/>
  <c r="E2" i="11"/>
  <c r="E32" i="11"/>
  <c r="E31" i="11"/>
  <c r="E3" i="11"/>
  <c r="E9" i="11"/>
  <c r="E21" i="11"/>
  <c r="E11" i="11"/>
  <c r="E13" i="11"/>
  <c r="B117" i="11"/>
  <c r="H57" i="11"/>
  <c r="H97" i="11"/>
  <c r="H12" i="11"/>
  <c r="H54" i="11"/>
  <c r="H52" i="11"/>
  <c r="H118" i="11"/>
  <c r="H55" i="11"/>
  <c r="H121" i="11"/>
  <c r="H138" i="11"/>
  <c r="H53" i="11"/>
  <c r="H56" i="11"/>
  <c r="H30" i="11"/>
  <c r="H62" i="11"/>
  <c r="H98" i="11"/>
  <c r="H9" i="11"/>
  <c r="H139" i="11"/>
  <c r="H35" i="11"/>
  <c r="H27" i="11"/>
  <c r="N33" i="1"/>
  <c r="O4" i="1" s="1"/>
  <c r="H11" i="11"/>
  <c r="H13" i="11"/>
  <c r="H21" i="11"/>
  <c r="H117" i="11"/>
  <c r="H39" i="11"/>
  <c r="H116" i="11"/>
  <c r="H115" i="11"/>
  <c r="H94" i="11"/>
  <c r="H119" i="11"/>
  <c r="H96" i="11"/>
  <c r="H133" i="11"/>
  <c r="H112" i="11"/>
  <c r="H18" i="11"/>
  <c r="H111" i="11"/>
  <c r="H137" i="11"/>
  <c r="H33" i="11"/>
  <c r="H136" i="11"/>
  <c r="H36" i="11"/>
  <c r="H73" i="11"/>
  <c r="H77" i="11"/>
  <c r="H34" i="11"/>
  <c r="H15" i="11"/>
  <c r="H140" i="11"/>
  <c r="H141" i="11"/>
  <c r="H78" i="11"/>
  <c r="H38" i="11"/>
  <c r="H19" i="11"/>
  <c r="H82" i="11"/>
  <c r="H23" i="11"/>
  <c r="H26" i="11"/>
  <c r="H76" i="11"/>
  <c r="H67" i="11"/>
  <c r="H70" i="11"/>
  <c r="H95" i="11"/>
  <c r="H75" i="11"/>
  <c r="H74" i="11"/>
  <c r="H99" i="11"/>
  <c r="H81" i="11"/>
  <c r="H60" i="11"/>
  <c r="H63" i="11"/>
  <c r="H106" i="11"/>
  <c r="H5" i="11"/>
  <c r="H88" i="11"/>
  <c r="H61" i="11"/>
  <c r="H65" i="11"/>
  <c r="H59" i="11"/>
  <c r="H124" i="11"/>
  <c r="H125" i="11"/>
  <c r="H43" i="11"/>
  <c r="H68" i="11"/>
  <c r="H80" i="11"/>
  <c r="H105" i="11"/>
  <c r="H104" i="11"/>
  <c r="H122" i="11"/>
  <c r="H93" i="11"/>
  <c r="H32" i="11"/>
  <c r="H25" i="11"/>
  <c r="H66" i="11"/>
  <c r="H85" i="11"/>
  <c r="H103" i="11"/>
  <c r="H102" i="11"/>
  <c r="H127" i="11"/>
  <c r="H87" i="11"/>
  <c r="H91" i="11"/>
  <c r="H71" i="11"/>
  <c r="H31" i="11"/>
  <c r="H17" i="11"/>
  <c r="H3" i="11"/>
  <c r="H46" i="11"/>
  <c r="H90" i="11"/>
  <c r="H84" i="11"/>
  <c r="H83" i="11"/>
  <c r="H101" i="11"/>
  <c r="H126" i="11"/>
  <c r="H123" i="11"/>
  <c r="H89" i="11"/>
  <c r="H69" i="11"/>
  <c r="H48" i="11"/>
  <c r="H50" i="11"/>
  <c r="H47" i="11"/>
  <c r="H51" i="11"/>
  <c r="H45" i="11"/>
  <c r="H41" i="11"/>
  <c r="H14" i="11"/>
  <c r="H110" i="11"/>
  <c r="H109" i="11"/>
  <c r="H132" i="11"/>
  <c r="H131" i="11"/>
  <c r="H6" i="11"/>
  <c r="H24" i="11"/>
  <c r="H44" i="11"/>
  <c r="H16" i="11"/>
  <c r="H28" i="11"/>
  <c r="H8" i="11"/>
  <c r="H108" i="11"/>
  <c r="H130" i="11"/>
  <c r="H129" i="11"/>
  <c r="H40" i="11"/>
  <c r="H42" i="11"/>
  <c r="H4" i="11"/>
  <c r="H113" i="11"/>
  <c r="H135" i="11"/>
  <c r="J148" i="11"/>
  <c r="J143" i="11"/>
  <c r="J146" i="11"/>
  <c r="J145" i="11"/>
  <c r="J144" i="11"/>
  <c r="J29" i="11"/>
  <c r="L93" i="11" l="1"/>
  <c r="M148" i="11"/>
  <c r="N148" i="11" s="1"/>
  <c r="L52" i="11"/>
  <c r="L56" i="11"/>
  <c r="L127" i="11"/>
  <c r="L112" i="11"/>
  <c r="L97" i="11"/>
  <c r="L82" i="11"/>
  <c r="L67" i="11"/>
  <c r="L133" i="11"/>
  <c r="L118" i="11"/>
  <c r="L103" i="11"/>
  <c r="L88" i="11"/>
  <c r="L73" i="11"/>
  <c r="J149" i="11"/>
  <c r="J150" i="11"/>
  <c r="J155" i="11"/>
  <c r="J151" i="11"/>
  <c r="J153" i="11"/>
  <c r="J154" i="11"/>
  <c r="L92" i="11"/>
  <c r="L77" i="11"/>
  <c r="L62" i="11"/>
  <c r="L141" i="11"/>
  <c r="L137" i="11"/>
  <c r="L57" i="11"/>
  <c r="L125" i="11"/>
  <c r="L110" i="11"/>
  <c r="L95" i="11"/>
  <c r="L80" i="11"/>
  <c r="L131" i="11"/>
  <c r="L116" i="11"/>
  <c r="L101" i="11"/>
  <c r="L64" i="11"/>
  <c r="L58" i="11"/>
  <c r="L45" i="11"/>
  <c r="L126" i="11"/>
  <c r="L111" i="11"/>
  <c r="L96" i="11"/>
  <c r="L81" i="11"/>
  <c r="L66" i="11"/>
  <c r="L132" i="11"/>
  <c r="L117" i="11"/>
  <c r="L102" i="11"/>
  <c r="L87" i="11"/>
  <c r="L72" i="11"/>
  <c r="L54" i="11"/>
  <c r="L122" i="11"/>
  <c r="L85" i="11"/>
  <c r="L70" i="11"/>
  <c r="L140" i="11"/>
  <c r="L106" i="11"/>
  <c r="L91" i="11"/>
  <c r="L76" i="11"/>
  <c r="L61" i="11"/>
  <c r="L40" i="11"/>
  <c r="L50" i="11"/>
  <c r="L99" i="11"/>
  <c r="L84" i="11"/>
  <c r="L69" i="11"/>
  <c r="L120" i="11"/>
  <c r="L105" i="11"/>
  <c r="L90" i="11"/>
  <c r="L75" i="11"/>
  <c r="L60" i="11"/>
  <c r="L48" i="11"/>
  <c r="L113" i="11"/>
  <c r="L98" i="11"/>
  <c r="L83" i="11"/>
  <c r="L68" i="11"/>
  <c r="L134" i="11"/>
  <c r="L119" i="11"/>
  <c r="L104" i="11"/>
  <c r="L89" i="11"/>
  <c r="L74" i="11"/>
  <c r="L59" i="11"/>
  <c r="L139" i="11"/>
  <c r="L86" i="11"/>
  <c r="L138" i="11"/>
  <c r="L44" i="11"/>
  <c r="L53" i="11"/>
  <c r="L124" i="11"/>
  <c r="L109" i="11"/>
  <c r="L94" i="11"/>
  <c r="L55" i="11"/>
  <c r="L130" i="11"/>
  <c r="L115" i="11"/>
  <c r="L100" i="11"/>
  <c r="L78" i="11"/>
  <c r="L63" i="11"/>
  <c r="L136" i="11"/>
  <c r="L123" i="11"/>
  <c r="L108" i="11"/>
  <c r="L71" i="11"/>
  <c r="L51" i="11"/>
  <c r="L129" i="11"/>
  <c r="L114" i="11"/>
  <c r="L135" i="11"/>
  <c r="L128" i="11"/>
  <c r="E35" i="11"/>
  <c r="E15" i="11"/>
  <c r="E33" i="11"/>
  <c r="E22" i="11"/>
  <c r="E34" i="11"/>
  <c r="E26" i="11"/>
  <c r="E27" i="11"/>
  <c r="B95" i="11"/>
  <c r="B22" i="11"/>
  <c r="B119" i="11"/>
  <c r="B41" i="11"/>
  <c r="B133" i="11"/>
  <c r="B5" i="11"/>
  <c r="B112" i="11"/>
  <c r="B82" i="11"/>
  <c r="B19" i="11"/>
  <c r="B24" i="11"/>
  <c r="B135" i="11"/>
  <c r="B39" i="11"/>
  <c r="B62" i="11"/>
  <c r="B128" i="11"/>
  <c r="B77" i="11"/>
  <c r="B73" i="11"/>
  <c r="B111" i="11"/>
  <c r="B7" i="11"/>
  <c r="B120" i="11"/>
  <c r="B108" i="11"/>
  <c r="B129" i="11"/>
  <c r="B89" i="11"/>
  <c r="B57" i="11"/>
  <c r="B155" i="11"/>
  <c r="B136" i="11"/>
  <c r="B131" i="11"/>
  <c r="B147" i="11"/>
  <c r="B48" i="11"/>
  <c r="B123" i="11"/>
  <c r="B71" i="11"/>
  <c r="B104" i="11"/>
  <c r="B116" i="11"/>
  <c r="B50" i="11"/>
  <c r="B144" i="11"/>
  <c r="B30" i="11"/>
  <c r="B75" i="11"/>
  <c r="B80" i="11"/>
  <c r="B140" i="11"/>
  <c r="B96" i="11"/>
  <c r="B86" i="11"/>
  <c r="B68" i="11"/>
  <c r="B58" i="11"/>
  <c r="B25" i="11"/>
  <c r="B150" i="11"/>
  <c r="B138" i="11"/>
  <c r="B31" i="11"/>
  <c r="G10" i="1"/>
  <c r="B90" i="11"/>
  <c r="B102" i="11"/>
  <c r="B64" i="11"/>
  <c r="B153" i="11"/>
  <c r="B105" i="11"/>
  <c r="B23" i="11"/>
  <c r="B33" i="11"/>
  <c r="B125" i="11"/>
  <c r="B99" i="11"/>
  <c r="B84" i="11"/>
  <c r="B54" i="11"/>
  <c r="B4" i="11"/>
  <c r="B118" i="11"/>
  <c r="B55" i="11"/>
  <c r="B28" i="11"/>
  <c r="B79" i="11"/>
  <c r="B67" i="11"/>
  <c r="B106" i="11"/>
  <c r="B92" i="11"/>
  <c r="B141" i="11"/>
  <c r="B139" i="11"/>
  <c r="B88" i="11"/>
  <c r="B35" i="11"/>
  <c r="B107" i="11"/>
  <c r="B100" i="11"/>
  <c r="B53" i="11"/>
  <c r="B11" i="11"/>
  <c r="B143" i="11"/>
  <c r="B37" i="11"/>
  <c r="B49" i="11"/>
  <c r="B124" i="11"/>
  <c r="B121" i="11"/>
  <c r="B83" i="11"/>
  <c r="B98" i="11"/>
  <c r="B154" i="11"/>
  <c r="B40" i="11"/>
  <c r="B20" i="11"/>
  <c r="B65" i="11"/>
  <c r="B114" i="11"/>
  <c r="B15" i="11"/>
  <c r="B43" i="11"/>
  <c r="B34" i="11"/>
  <c r="B78" i="11"/>
  <c r="B134" i="11"/>
  <c r="B113" i="11"/>
  <c r="B63" i="11"/>
  <c r="B146" i="11"/>
  <c r="B12" i="11"/>
  <c r="B93" i="11"/>
  <c r="B137" i="11"/>
  <c r="B103" i="11"/>
  <c r="B21" i="11"/>
  <c r="B94" i="11"/>
  <c r="B72" i="11"/>
  <c r="B60" i="11"/>
  <c r="B44" i="11"/>
  <c r="B152" i="11"/>
  <c r="B36" i="11"/>
  <c r="B32" i="11"/>
  <c r="B6" i="11"/>
  <c r="B110" i="11"/>
  <c r="B130" i="11"/>
  <c r="B91" i="11"/>
  <c r="B51" i="11"/>
  <c r="B47" i="11"/>
  <c r="B17" i="11"/>
  <c r="B132" i="11"/>
  <c r="B76" i="11"/>
  <c r="B61" i="11"/>
  <c r="B74" i="11"/>
  <c r="B97" i="11"/>
  <c r="B101" i="11"/>
  <c r="B70" i="11"/>
  <c r="B59" i="11"/>
  <c r="B2" i="11"/>
  <c r="B149" i="11"/>
  <c r="B16" i="11"/>
  <c r="B27" i="11"/>
  <c r="B126" i="11"/>
  <c r="B81" i="11"/>
  <c r="B145" i="11"/>
  <c r="B122" i="11"/>
  <c r="B26" i="11"/>
  <c r="B142" i="11"/>
  <c r="B56" i="11"/>
  <c r="B87" i="11"/>
  <c r="B52" i="11"/>
  <c r="B8" i="11"/>
  <c r="B151" i="11"/>
  <c r="B3" i="11"/>
  <c r="B45" i="11"/>
  <c r="B115" i="11"/>
  <c r="B42" i="11"/>
  <c r="B69" i="11"/>
  <c r="B46" i="11"/>
  <c r="B13" i="11"/>
  <c r="B10" i="11"/>
  <c r="B66" i="11"/>
  <c r="B109" i="11"/>
  <c r="B38" i="11"/>
  <c r="B18" i="11"/>
  <c r="B85" i="11"/>
  <c r="B9" i="11"/>
  <c r="B127" i="11"/>
  <c r="B14" i="11"/>
  <c r="B148" i="11"/>
  <c r="B29" i="11"/>
  <c r="D73" i="11" l="1"/>
  <c r="G9" i="1"/>
  <c r="D108" i="11"/>
  <c r="D45" i="11"/>
  <c r="D87" i="11"/>
  <c r="E19" i="11"/>
  <c r="E38" i="11"/>
  <c r="E36" i="11"/>
  <c r="B16" i="1"/>
  <c r="E39" i="11"/>
  <c r="E37" i="11"/>
  <c r="E18" i="11"/>
  <c r="E23" i="11"/>
  <c r="D30" i="11"/>
  <c r="K30" i="11" s="1"/>
  <c r="D122" i="11"/>
  <c r="D101" i="11"/>
  <c r="D33" i="11"/>
  <c r="K33" i="11" s="1"/>
  <c r="D29" i="11"/>
  <c r="K29" i="11" s="1"/>
  <c r="H10" i="1"/>
  <c r="D66" i="11"/>
  <c r="D59" i="11"/>
  <c r="D129" i="11"/>
  <c r="D16" i="11"/>
  <c r="D52" i="11"/>
  <c r="D149" i="11"/>
  <c r="D36" i="11"/>
  <c r="K36" i="11" s="1"/>
  <c r="D94" i="11"/>
  <c r="D31" i="11"/>
  <c r="K31" i="11" s="1"/>
  <c r="D80" i="11"/>
  <c r="D115" i="11"/>
  <c r="D40" i="11"/>
  <c r="D136" i="11"/>
  <c r="L29" i="11" l="1"/>
  <c r="L30" i="11"/>
  <c r="I10" i="1"/>
  <c r="I9" i="1" s="1"/>
  <c r="H9" i="1"/>
  <c r="L31" i="11"/>
  <c r="L36" i="11"/>
  <c r="M142" i="11"/>
  <c r="N142" i="11" s="1"/>
  <c r="K16" i="11"/>
  <c r="M45" i="11" s="1"/>
  <c r="N45" i="11" s="1"/>
  <c r="D21" i="11"/>
  <c r="K21" i="11" s="1"/>
  <c r="D53" i="11"/>
  <c r="B17" i="1"/>
  <c r="E41" i="11"/>
  <c r="E43" i="11"/>
  <c r="E40" i="11"/>
  <c r="E44" i="11"/>
  <c r="E24" i="11"/>
  <c r="E20" i="11"/>
  <c r="E42" i="11"/>
  <c r="D28" i="11"/>
  <c r="D34" i="11"/>
  <c r="K34" i="11" s="1"/>
  <c r="D150" i="11"/>
  <c r="D74" i="11"/>
  <c r="D116" i="11"/>
  <c r="D102" i="11"/>
  <c r="D109" i="11"/>
  <c r="D37" i="11"/>
  <c r="K37" i="11" s="1"/>
  <c r="D46" i="11"/>
  <c r="K46" i="11" s="1"/>
  <c r="D95" i="11"/>
  <c r="D60" i="11"/>
  <c r="D143" i="11"/>
  <c r="D81" i="11"/>
  <c r="D32" i="11"/>
  <c r="D88" i="11"/>
  <c r="D130" i="11"/>
  <c r="D137" i="11"/>
  <c r="D123" i="11"/>
  <c r="D41" i="11"/>
  <c r="K41" i="11" s="1"/>
  <c r="D67" i="11"/>
  <c r="D131" i="11" l="1"/>
  <c r="D89" i="11"/>
  <c r="D54" i="11"/>
  <c r="D117" i="11"/>
  <c r="D144" i="11"/>
  <c r="D47" i="11"/>
  <c r="K47" i="11" s="1"/>
  <c r="M54" i="11" s="1"/>
  <c r="N54" i="11" s="1"/>
  <c r="D82" i="11"/>
  <c r="D124" i="11"/>
  <c r="D61" i="11"/>
  <c r="D42" i="11"/>
  <c r="D138" i="11"/>
  <c r="D96" i="11"/>
  <c r="J10" i="1"/>
  <c r="J9" i="1" s="1"/>
  <c r="D110" i="11"/>
  <c r="D103" i="11"/>
  <c r="D38" i="11"/>
  <c r="K38" i="11" s="1"/>
  <c r="L38" i="11" s="1"/>
  <c r="D9" i="11"/>
  <c r="D75" i="11"/>
  <c r="D6" i="11"/>
  <c r="D15" i="11"/>
  <c r="K15" i="11" s="1"/>
  <c r="D5" i="11"/>
  <c r="K5" i="11" s="1"/>
  <c r="D151" i="11"/>
  <c r="D68" i="11"/>
  <c r="L33" i="11"/>
  <c r="L37" i="11"/>
  <c r="L39" i="11"/>
  <c r="L46" i="11"/>
  <c r="L151" i="11"/>
  <c r="K32" i="11"/>
  <c r="L32" i="11" s="1"/>
  <c r="K9" i="11"/>
  <c r="K6" i="11"/>
  <c r="K28" i="11"/>
  <c r="M53" i="11" s="1"/>
  <c r="N53" i="11" s="1"/>
  <c r="E50" i="11"/>
  <c r="E49" i="11"/>
  <c r="E45" i="11"/>
  <c r="E47" i="11"/>
  <c r="B18" i="1"/>
  <c r="E51" i="11"/>
  <c r="E48" i="11"/>
  <c r="E46" i="11"/>
  <c r="L149" i="11"/>
  <c r="L23" i="11" l="1"/>
  <c r="L47" i="11"/>
  <c r="D118" i="11"/>
  <c r="D62" i="11"/>
  <c r="D76" i="11"/>
  <c r="D69" i="11"/>
  <c r="D48" i="11"/>
  <c r="D13" i="11"/>
  <c r="K13" i="11" s="1"/>
  <c r="D90" i="11"/>
  <c r="D3" i="11"/>
  <c r="K3" i="11" s="1"/>
  <c r="M55" i="11" s="1"/>
  <c r="N55" i="11" s="1"/>
  <c r="D35" i="11"/>
  <c r="K35" i="11" s="1"/>
  <c r="D24" i="11"/>
  <c r="K24" i="11" s="1"/>
  <c r="D104" i="11"/>
  <c r="D23" i="11"/>
  <c r="K23" i="11" s="1"/>
  <c r="L34" i="11" s="1"/>
  <c r="D14" i="11"/>
  <c r="D55" i="11"/>
  <c r="D152" i="11"/>
  <c r="D132" i="11"/>
  <c r="D83" i="11"/>
  <c r="D145" i="11"/>
  <c r="D125" i="11"/>
  <c r="D139" i="11"/>
  <c r="D97" i="11"/>
  <c r="D111" i="11"/>
  <c r="K10" i="1"/>
  <c r="K9" i="1" s="1"/>
  <c r="M151" i="11"/>
  <c r="N151" i="11" s="1"/>
  <c r="L41" i="11"/>
  <c r="K14" i="11"/>
  <c r="M152" i="11" s="1"/>
  <c r="N152" i="11" s="1"/>
  <c r="E52" i="11"/>
  <c r="E56" i="11"/>
  <c r="E58" i="11"/>
  <c r="E53" i="11"/>
  <c r="E57" i="11"/>
  <c r="B19" i="1"/>
  <c r="E54" i="11"/>
  <c r="E55" i="11"/>
  <c r="L142" i="11"/>
  <c r="D105" i="11" l="1"/>
  <c r="D27" i="11"/>
  <c r="K27" i="11" s="1"/>
  <c r="L27" i="11" s="1"/>
  <c r="D4" i="11"/>
  <c r="D43" i="11"/>
  <c r="K43" i="11" s="1"/>
  <c r="L43" i="11" s="1"/>
  <c r="D77" i="11"/>
  <c r="D133" i="11"/>
  <c r="D140" i="11"/>
  <c r="D12" i="11"/>
  <c r="K12" i="11" s="1"/>
  <c r="D63" i="11"/>
  <c r="L17" i="11"/>
  <c r="D91" i="11"/>
  <c r="D49" i="11"/>
  <c r="K49" i="11" s="1"/>
  <c r="L49" i="11" s="1"/>
  <c r="D70" i="11"/>
  <c r="D56" i="11"/>
  <c r="D119" i="11"/>
  <c r="D18" i="11"/>
  <c r="K18" i="11" s="1"/>
  <c r="D146" i="11"/>
  <c r="D126" i="11"/>
  <c r="D17" i="11"/>
  <c r="K17" i="11" s="1"/>
  <c r="D84" i="11"/>
  <c r="L10" i="1"/>
  <c r="L9" i="1" s="1"/>
  <c r="D98" i="11"/>
  <c r="D153" i="11"/>
  <c r="D112" i="11"/>
  <c r="L28" i="11"/>
  <c r="L42" i="11"/>
  <c r="L35" i="11"/>
  <c r="L14" i="11"/>
  <c r="K4" i="11"/>
  <c r="M153" i="11" s="1"/>
  <c r="N153" i="11" s="1"/>
  <c r="E65" i="11"/>
  <c r="E59" i="11"/>
  <c r="B20" i="1"/>
  <c r="E61" i="11"/>
  <c r="E60" i="11"/>
  <c r="E63" i="11"/>
  <c r="E64" i="11"/>
  <c r="E62" i="11"/>
  <c r="L152" i="11"/>
  <c r="L18" i="11" l="1"/>
  <c r="D134" i="11"/>
  <c r="D154" i="11"/>
  <c r="D19" i="11"/>
  <c r="K19" i="11" s="1"/>
  <c r="D141" i="11"/>
  <c r="D92" i="11"/>
  <c r="D99" i="11"/>
  <c r="D11" i="11"/>
  <c r="K11" i="11" s="1"/>
  <c r="L11" i="11" s="1"/>
  <c r="D25" i="11"/>
  <c r="K25" i="11" s="1"/>
  <c r="D127" i="11"/>
  <c r="D71" i="11"/>
  <c r="D57" i="11"/>
  <c r="D85" i="11"/>
  <c r="D106" i="11"/>
  <c r="D50" i="11"/>
  <c r="D113" i="11"/>
  <c r="D120" i="11"/>
  <c r="D22" i="11"/>
  <c r="K22" i="11" s="1"/>
  <c r="L16" i="11" s="1"/>
  <c r="M10" i="1"/>
  <c r="M9" i="1" s="1"/>
  <c r="D44" i="11"/>
  <c r="D7" i="11"/>
  <c r="K7" i="11" s="1"/>
  <c r="D78" i="11"/>
  <c r="D147" i="11"/>
  <c r="D64" i="11"/>
  <c r="M16" i="11"/>
  <c r="N16" i="11" s="1"/>
  <c r="M41" i="11"/>
  <c r="N41" i="11" s="1"/>
  <c r="L6" i="11"/>
  <c r="E72" i="11"/>
  <c r="E66" i="11"/>
  <c r="E69" i="11"/>
  <c r="E67" i="11"/>
  <c r="B21" i="1"/>
  <c r="E68" i="11"/>
  <c r="E71" i="11"/>
  <c r="E70" i="11"/>
  <c r="M36" i="11" l="1"/>
  <c r="N36" i="11" s="1"/>
  <c r="L19" i="11"/>
  <c r="L21" i="11"/>
  <c r="L25" i="11"/>
  <c r="D128" i="11"/>
  <c r="L12" i="11"/>
  <c r="D148" i="11"/>
  <c r="D142" i="11"/>
  <c r="D86" i="11"/>
  <c r="D2" i="11"/>
  <c r="K2" i="11" s="1"/>
  <c r="L15" i="11" s="1"/>
  <c r="D121" i="11"/>
  <c r="D79" i="11"/>
  <c r="D100" i="11"/>
  <c r="D58" i="11"/>
  <c r="D114" i="11"/>
  <c r="D10" i="11"/>
  <c r="K10" i="11" s="1"/>
  <c r="L10" i="11" s="1"/>
  <c r="D8" i="11"/>
  <c r="M34" i="11" s="1"/>
  <c r="N34" i="11" s="1"/>
  <c r="D93" i="11"/>
  <c r="D107" i="11"/>
  <c r="D72" i="11"/>
  <c r="D39" i="11"/>
  <c r="D155" i="11"/>
  <c r="D20" i="11"/>
  <c r="K20" i="11" s="1"/>
  <c r="D65" i="11"/>
  <c r="D51" i="11"/>
  <c r="D26" i="11"/>
  <c r="K26" i="11" s="1"/>
  <c r="D135" i="11"/>
  <c r="M21" i="11"/>
  <c r="N21" i="11" s="1"/>
  <c r="M23" i="11"/>
  <c r="N23" i="11" s="1"/>
  <c r="M44" i="11"/>
  <c r="N44" i="11" s="1"/>
  <c r="L2" i="11"/>
  <c r="L22" i="11"/>
  <c r="M39" i="11"/>
  <c r="N39" i="11" s="1"/>
  <c r="M27" i="11"/>
  <c r="N27" i="11" s="1"/>
  <c r="M33" i="11"/>
  <c r="N33" i="11" s="1"/>
  <c r="M32" i="11"/>
  <c r="N32" i="11" s="1"/>
  <c r="M28" i="11"/>
  <c r="N28" i="11" s="1"/>
  <c r="M31" i="11"/>
  <c r="N31" i="11" s="1"/>
  <c r="M25" i="11"/>
  <c r="N25" i="11" s="1"/>
  <c r="M26" i="11"/>
  <c r="N26" i="11" s="1"/>
  <c r="M42" i="11"/>
  <c r="N42" i="11" s="1"/>
  <c r="M46" i="11"/>
  <c r="N46" i="11" s="1"/>
  <c r="M49" i="11"/>
  <c r="N49" i="11" s="1"/>
  <c r="M47" i="11"/>
  <c r="N47" i="11" s="1"/>
  <c r="M19" i="11"/>
  <c r="N19" i="11" s="1"/>
  <c r="M35" i="11"/>
  <c r="N35" i="11" s="1"/>
  <c r="M17" i="11"/>
  <c r="N17" i="11" s="1"/>
  <c r="M24" i="11"/>
  <c r="N24" i="11" s="1"/>
  <c r="M18" i="11"/>
  <c r="N18" i="11" s="1"/>
  <c r="M14" i="11"/>
  <c r="N14" i="11" s="1"/>
  <c r="M9" i="11"/>
  <c r="N9" i="11" s="1"/>
  <c r="L4" i="11"/>
  <c r="E77" i="11"/>
  <c r="E73" i="11"/>
  <c r="E79" i="11"/>
  <c r="B22" i="1"/>
  <c r="E76" i="11"/>
  <c r="E78" i="11"/>
  <c r="E75" i="11"/>
  <c r="E74" i="11"/>
  <c r="M13" i="11" l="1"/>
  <c r="N13" i="11" s="1"/>
  <c r="L13" i="11"/>
  <c r="L20" i="11"/>
  <c r="M12" i="11"/>
  <c r="N12" i="11" s="1"/>
  <c r="L24" i="11"/>
  <c r="L26" i="11"/>
  <c r="M7" i="11"/>
  <c r="N7" i="11" s="1"/>
  <c r="M6" i="11"/>
  <c r="N6" i="11" s="1"/>
  <c r="M11" i="11"/>
  <c r="N11" i="11" s="1"/>
  <c r="M4" i="11"/>
  <c r="N4" i="11" s="1"/>
  <c r="M3" i="11"/>
  <c r="N3" i="11" s="1"/>
  <c r="M22" i="11"/>
  <c r="N22" i="11" s="1"/>
  <c r="M20" i="11"/>
  <c r="N20" i="11" s="1"/>
  <c r="K8" i="11"/>
  <c r="L3" i="11"/>
  <c r="M15" i="11"/>
  <c r="N15" i="11" s="1"/>
  <c r="L9" i="11"/>
  <c r="E81" i="11"/>
  <c r="E83" i="11"/>
  <c r="B23" i="1"/>
  <c r="E86" i="11"/>
  <c r="E82" i="11"/>
  <c r="E84" i="11"/>
  <c r="E85" i="11"/>
  <c r="E80" i="11"/>
  <c r="M2" i="11" l="1"/>
  <c r="N2" i="11" s="1"/>
  <c r="L8" i="11"/>
  <c r="M8" i="11"/>
  <c r="N8" i="11" s="1"/>
  <c r="M10" i="11"/>
  <c r="N10" i="11" s="1"/>
  <c r="M5" i="11"/>
  <c r="N5" i="11" s="1"/>
  <c r="M30" i="11"/>
  <c r="N30" i="11" s="1"/>
  <c r="L5" i="11"/>
  <c r="E91" i="11"/>
  <c r="E93" i="11"/>
  <c r="E87" i="11"/>
  <c r="E88" i="11"/>
  <c r="E89" i="11"/>
  <c r="E92" i="11"/>
  <c r="B24" i="1"/>
  <c r="E90" i="11"/>
  <c r="E98" i="11" l="1"/>
  <c r="E95" i="11"/>
  <c r="E97" i="11"/>
  <c r="E99" i="11"/>
  <c r="E100" i="11"/>
  <c r="E94" i="11"/>
  <c r="B25" i="1"/>
  <c r="E96" i="11"/>
  <c r="E107" i="11" l="1"/>
  <c r="E105" i="11"/>
  <c r="E106" i="11"/>
  <c r="E104" i="11"/>
  <c r="B26" i="1"/>
  <c r="E102" i="11"/>
  <c r="E103" i="11"/>
  <c r="E101" i="11"/>
  <c r="E111" i="11" l="1"/>
  <c r="E110" i="11"/>
  <c r="E108" i="11"/>
  <c r="B27" i="1"/>
  <c r="E112" i="11"/>
  <c r="E113" i="11"/>
  <c r="E109" i="11"/>
  <c r="E114" i="11"/>
  <c r="E119" i="11" l="1"/>
  <c r="E117" i="11"/>
  <c r="E118" i="11"/>
  <c r="E116" i="11"/>
  <c r="E115" i="11"/>
  <c r="E120" i="11"/>
  <c r="B28" i="1"/>
  <c r="E121" i="11"/>
  <c r="E123" i="11" l="1"/>
  <c r="E124" i="11"/>
  <c r="E125" i="11"/>
  <c r="E122" i="11"/>
  <c r="E127" i="11"/>
  <c r="E128" i="11"/>
  <c r="B29" i="1"/>
  <c r="E126" i="11"/>
  <c r="E129" i="11" l="1"/>
  <c r="E133" i="11"/>
  <c r="E135" i="11"/>
  <c r="E134" i="11"/>
  <c r="E131" i="11"/>
  <c r="E130" i="11"/>
  <c r="B30" i="1"/>
  <c r="E132" i="11"/>
  <c r="E142" i="11" l="1"/>
  <c r="E139" i="11"/>
  <c r="E141" i="11"/>
  <c r="E138" i="11"/>
  <c r="E137" i="11"/>
  <c r="E140" i="11"/>
  <c r="E136" i="11"/>
  <c r="L7" i="11"/>
</calcChain>
</file>

<file path=xl/sharedStrings.xml><?xml version="1.0" encoding="utf-8"?>
<sst xmlns="http://schemas.openxmlformats.org/spreadsheetml/2006/main" count="1861" uniqueCount="551">
  <si>
    <t>Client Name &amp; Project</t>
  </si>
  <si>
    <t>Mon</t>
  </si>
  <si>
    <t>Tue</t>
  </si>
  <si>
    <t>Wed</t>
  </si>
  <si>
    <t>Thu</t>
  </si>
  <si>
    <t>Fri</t>
  </si>
  <si>
    <t>Sat</t>
  </si>
  <si>
    <t>Sun</t>
  </si>
  <si>
    <t>TOTAL HOURS</t>
  </si>
  <si>
    <t>001</t>
  </si>
  <si>
    <t>Name</t>
  </si>
  <si>
    <t>Holiday</t>
  </si>
  <si>
    <t>Charge Code</t>
  </si>
  <si>
    <t>BD</t>
  </si>
  <si>
    <t>Business Development</t>
  </si>
  <si>
    <t>Week #</t>
  </si>
  <si>
    <t>Client Name</t>
  </si>
  <si>
    <t>Client Code</t>
  </si>
  <si>
    <t>Project Type</t>
  </si>
  <si>
    <t>Nathan</t>
  </si>
  <si>
    <t>004</t>
  </si>
  <si>
    <t>003</t>
  </si>
  <si>
    <t>Cory</t>
  </si>
  <si>
    <t>002</t>
  </si>
  <si>
    <t>First</t>
  </si>
  <si>
    <t>Last</t>
  </si>
  <si>
    <t>Date of Hire</t>
  </si>
  <si>
    <t>Employee Number</t>
  </si>
  <si>
    <t>EMPLOYEE MASTER</t>
  </si>
  <si>
    <t>Date:</t>
  </si>
  <si>
    <t>Full Name</t>
  </si>
  <si>
    <t>Time Category</t>
  </si>
  <si>
    <t>Category</t>
  </si>
  <si>
    <t>Project Name</t>
  </si>
  <si>
    <t>Project Lookup</t>
  </si>
  <si>
    <t>Week Lookup</t>
  </si>
  <si>
    <t>Week Starting</t>
  </si>
  <si>
    <t>Week Start</t>
  </si>
  <si>
    <t>Insert New Project Here ---&gt;</t>
  </si>
  <si>
    <t>Updated As Of:</t>
  </si>
  <si>
    <t>Numeric-Primary</t>
  </si>
  <si>
    <t>Week Number</t>
  </si>
  <si>
    <t>Date</t>
  </si>
  <si>
    <t>Hours</t>
  </si>
  <si>
    <t>Project #</t>
  </si>
  <si>
    <t>PTO</t>
  </si>
  <si>
    <t>Project
Category</t>
  </si>
  <si>
    <t>Employee Name</t>
  </si>
  <si>
    <t>Week</t>
  </si>
  <si>
    <t>Lange</t>
  </si>
  <si>
    <t>Chris</t>
  </si>
  <si>
    <t>Numeric Secondary</t>
  </si>
  <si>
    <t>State</t>
  </si>
  <si>
    <t>State of Residence</t>
  </si>
  <si>
    <t>GA</t>
  </si>
  <si>
    <t>CT</t>
  </si>
  <si>
    <t>IL</t>
  </si>
  <si>
    <t>PA</t>
  </si>
  <si>
    <t>TX</t>
  </si>
  <si>
    <t>MN</t>
  </si>
  <si>
    <t>CO</t>
  </si>
  <si>
    <t>MD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</si>
  <si>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</si>
  <si>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</si>
  <si>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</si>
  <si>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</si>
  <si>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</si>
  <si>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</si>
  <si>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</si>
  <si>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</si>
  <si>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</si>
  <si>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</si>
  <si>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</si>
  <si>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</si>
  <si>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CONNECTICUT</t>
  </si>
  <si>
    <t>DELAWARE</t>
  </si>
  <si>
    <t>DE</t>
  </si>
  <si>
    <t>FLORIDA</t>
  </si>
  <si>
    <t>FL</t>
  </si>
  <si>
    <t>GEORGIA</t>
  </si>
  <si>
    <t>HAWAII</t>
  </si>
  <si>
    <t>HI</t>
  </si>
  <si>
    <t>IDAHO</t>
  </si>
  <si>
    <t>ID</t>
  </si>
  <si>
    <t>ILLINOIS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</si>
  <si>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</si>
  <si>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</si>
  <si>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</si>
  <si>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</si>
  <si>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</si>
  <si>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</si>
  <si>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</si>
  <si>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</si>
  <si>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</si>
  <si>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</si>
  <si>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</si>
  <si>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</si>
  <si>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</si>
  <si>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MASSACHUSETTS</t>
  </si>
  <si>
    <t>MA</t>
  </si>
  <si>
    <t>MICHIGAN</t>
  </si>
  <si>
    <t>MI</t>
  </si>
  <si>
    <t>MINNESOTA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</si>
  <si>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</si>
  <si>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</si>
  <si>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</si>
  <si>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</si>
  <si>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</si>
  <si>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</si>
  <si>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</si>
  <si>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</si>
  <si>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</si>
  <si>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</si>
  <si>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</si>
  <si>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</si>
  <si>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</si>
  <si>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</si>
  <si>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</si>
  <si>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</si>
  <si>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</si>
  <si>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</si>
  <si>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</si>
  <si>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</si>
  <si>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</si>
  <si>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</si>
  <si>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</si>
  <si>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</si>
  <si>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</si>
  <si>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</si>
  <si>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</si>
  <si>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</si>
  <si>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</si>
  <si>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</si>
  <si>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</si>
  <si>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</si>
  <si>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</si>
  <si>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</si>
  <si>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</si>
  <si>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</si>
  <si>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</si>
  <si>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</si>
  <si>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</si>
  <si>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</si>
  <si>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</si>
  <si>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</si>
  <si>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</si>
  <si>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</si>
  <si>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</si>
  <si>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</si>
  <si>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</si>
  <si>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</si>
  <si>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</si>
  <si>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</si>
  <si>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</si>
  <si>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</si>
  <si>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Bill Code Status</t>
  </si>
  <si>
    <t>Active</t>
  </si>
  <si>
    <t>Retired</t>
  </si>
  <si>
    <t>LTL Sourcing</t>
  </si>
  <si>
    <t>Marketing</t>
  </si>
  <si>
    <t>Revised Hours</t>
  </si>
  <si>
    <t>Days for Tracking</t>
  </si>
  <si>
    <t>Hours for tracking</t>
  </si>
  <si>
    <t>Revised Days</t>
  </si>
  <si>
    <t>Chris Lange</t>
  </si>
  <si>
    <t>-</t>
  </si>
  <si>
    <t>McCalla</t>
  </si>
  <si>
    <t>Mark</t>
  </si>
  <si>
    <t>Thompson</t>
  </si>
  <si>
    <t>Burke</t>
  </si>
  <si>
    <t>Burgess</t>
  </si>
  <si>
    <t>Matthew</t>
  </si>
  <si>
    <t>IND</t>
  </si>
  <si>
    <t>*IND = India</t>
  </si>
  <si>
    <t>Bajaj</t>
  </si>
  <si>
    <t>Poorva</t>
  </si>
  <si>
    <t>Anwar</t>
  </si>
  <si>
    <t>Arham</t>
  </si>
  <si>
    <t>CB</t>
  </si>
  <si>
    <t>LD</t>
  </si>
  <si>
    <t>LCOE Development</t>
  </si>
  <si>
    <t>Amneal</t>
  </si>
  <si>
    <t>INDIA</t>
  </si>
  <si>
    <t>Project Category</t>
  </si>
  <si>
    <t>Parcel</t>
  </si>
  <si>
    <t>Freight Pay &amp; Audit</t>
  </si>
  <si>
    <t>Quick Pay</t>
  </si>
  <si>
    <t>Fuel Sourcing</t>
  </si>
  <si>
    <t>Diagnostic</t>
  </si>
  <si>
    <t>TL Sourcing</t>
  </si>
  <si>
    <t>Parcel Sourcing</t>
  </si>
  <si>
    <t>Spend Visibility</t>
  </si>
  <si>
    <t>Indirect Sourcing</t>
  </si>
  <si>
    <t>Inventory</t>
  </si>
  <si>
    <t>Logistics Dashboard</t>
  </si>
  <si>
    <t>Logistics Dashboard II</t>
  </si>
  <si>
    <t>Transportation Sourcing</t>
  </si>
  <si>
    <t>General Sourcing</t>
  </si>
  <si>
    <t>Dedicated Fleet</t>
  </si>
  <si>
    <t>Contract Maintenance</t>
  </si>
  <si>
    <t>Spend Cube</t>
  </si>
  <si>
    <t>General Transportation</t>
  </si>
  <si>
    <t>Recruiting - Referrals</t>
  </si>
  <si>
    <t>Recruiting - Campus</t>
  </si>
  <si>
    <t>Recruiting - Direct</t>
  </si>
  <si>
    <t>Training - Developing</t>
  </si>
  <si>
    <t>Training - Delivering</t>
  </si>
  <si>
    <t>Training - Attendance</t>
  </si>
  <si>
    <t>Retaining - Coaching</t>
  </si>
  <si>
    <t>Retaining - Mentoring</t>
  </si>
  <si>
    <t>Retaining - Reviews</t>
  </si>
  <si>
    <t>Professional Seminars/Conferences</t>
  </si>
  <si>
    <t>Unassigned Time</t>
  </si>
  <si>
    <t>Veolia</t>
  </si>
  <si>
    <t>AMN</t>
  </si>
  <si>
    <t>VEO</t>
  </si>
  <si>
    <t>Lehigh Hanson</t>
  </si>
  <si>
    <t>General</t>
  </si>
  <si>
    <t>Assist in Creating Assets</t>
  </si>
  <si>
    <t>&lt;--- Internal Non-Client Code</t>
  </si>
  <si>
    <t>LCOE</t>
  </si>
  <si>
    <t>&lt;--- Add Client Codes Here</t>
  </si>
  <si>
    <t>&lt;--- Add Project Category Here</t>
  </si>
  <si>
    <t>Paid Time Off</t>
  </si>
  <si>
    <t>LCOE - PTO - Paid Time Off</t>
  </si>
  <si>
    <t>LCOE - PTO - Holiday</t>
  </si>
  <si>
    <t>Version: 2021-1.0</t>
  </si>
  <si>
    <t>Packaging RFP</t>
  </si>
  <si>
    <t>Lab Supplies RFP</t>
  </si>
  <si>
    <t>New Year's Day</t>
  </si>
  <si>
    <t>Day of Week</t>
  </si>
  <si>
    <t>USA</t>
  </si>
  <si>
    <t>Country
(USA/IND)</t>
  </si>
  <si>
    <t>Republic Day</t>
  </si>
  <si>
    <t>#</t>
  </si>
  <si>
    <t>Presidents' Day</t>
  </si>
  <si>
    <t>USA/IND</t>
  </si>
  <si>
    <t>Maha Shivratri</t>
  </si>
  <si>
    <t>Holi</t>
  </si>
  <si>
    <t>Good Friday</t>
  </si>
  <si>
    <t>Eid-Ul-Fitar</t>
  </si>
  <si>
    <t>Memorial Day</t>
  </si>
  <si>
    <t>Independence Day</t>
  </si>
  <si>
    <t>Janmashtami</t>
  </si>
  <si>
    <t>Labor Day</t>
  </si>
  <si>
    <t>Dussehra</t>
  </si>
  <si>
    <t>Diwali</t>
  </si>
  <si>
    <t>Guru Nanak Jayanti</t>
  </si>
  <si>
    <t>Thanksgiving</t>
  </si>
  <si>
    <t>Day after Thanksgiving</t>
  </si>
  <si>
    <t>Christmas Eve</t>
  </si>
  <si>
    <t>Christmas</t>
  </si>
  <si>
    <t>Matthew Burgess</t>
  </si>
  <si>
    <t>CB - Amneal - Parcel</t>
  </si>
  <si>
    <t>Project Category - Client Name - Project</t>
  </si>
  <si>
    <t>FTB</t>
  </si>
  <si>
    <t>LHH</t>
  </si>
  <si>
    <t>CSC</t>
  </si>
  <si>
    <t>COE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</si>
  <si>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</si>
  <si>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</si>
  <si>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</si>
  <si>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</si>
  <si>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</si>
  <si>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</si>
  <si>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</si>
  <si>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</si>
  <si>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</si>
  <si>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CB - Veolia - Quick Pay</t>
  </si>
  <si>
    <t>LD - LCOE - Unassigned Time</t>
  </si>
  <si>
    <t>CB - Fortune Brands - Diagnostic</t>
  </si>
  <si>
    <t>BD - Lehigh Hanson - Transportation Sourcing</t>
  </si>
  <si>
    <t>GRAND TOTAL</t>
  </si>
  <si>
    <t>LD - LCOE Training - Developing</t>
  </si>
  <si>
    <t>LD - LCOE Training - Attendance</t>
  </si>
  <si>
    <t>Comments</t>
  </si>
  <si>
    <t>Go</t>
  </si>
  <si>
    <t>Samuel</t>
  </si>
  <si>
    <t>Sternberg</t>
  </si>
  <si>
    <t>Brian</t>
  </si>
  <si>
    <t>Catalfamo</t>
  </si>
  <si>
    <t>Ken</t>
  </si>
  <si>
    <t>Impendi Firm Development</t>
  </si>
  <si>
    <t>IB</t>
  </si>
  <si>
    <t>Impendi Client Billable</t>
  </si>
  <si>
    <t>Impendi</t>
  </si>
  <si>
    <t>014</t>
  </si>
  <si>
    <t>WIN</t>
  </si>
  <si>
    <t>IMP</t>
  </si>
  <si>
    <t>LCOE Client Billable</t>
  </si>
  <si>
    <t xml:space="preserve"> Business Development</t>
  </si>
  <si>
    <t xml:space="preserve"> LCOE Client Billable</t>
  </si>
  <si>
    <t xml:space="preserve"> Impendi Client Billable</t>
  </si>
  <si>
    <t xml:space="preserve"> Impendi Firm Development</t>
  </si>
  <si>
    <t xml:space="preserve"> LCOE Development</t>
  </si>
  <si>
    <t>Internal Meetings - Bi-monthly Calls</t>
  </si>
  <si>
    <t>JP+</t>
  </si>
  <si>
    <t>Broadridge</t>
  </si>
  <si>
    <t>BRD</t>
  </si>
  <si>
    <t>RTV</t>
  </si>
  <si>
    <t>RET</t>
  </si>
  <si>
    <t>FIS</t>
  </si>
  <si>
    <t>Claire's</t>
  </si>
  <si>
    <t>CLR</t>
  </si>
  <si>
    <t>DirecTv</t>
  </si>
  <si>
    <t>DTV</t>
  </si>
  <si>
    <t>CH</t>
  </si>
  <si>
    <t>Chargeable</t>
  </si>
  <si>
    <t>Internal</t>
  </si>
  <si>
    <t>Transplace Internal Work</t>
  </si>
  <si>
    <t>BD - General - Assist in Creating Assets</t>
  </si>
  <si>
    <t>COE-001-BD</t>
  </si>
  <si>
    <t>BD - Amneal - TL Sourcing</t>
  </si>
  <si>
    <t>AMN-001-BD</t>
  </si>
  <si>
    <t>BD - Amneal - LTL Sourcing</t>
  </si>
  <si>
    <t>AMN-002-BD</t>
  </si>
  <si>
    <t>LHH-003-BD</t>
  </si>
  <si>
    <t>BD - Lehigh Hanson - General Sourcing</t>
  </si>
  <si>
    <t>LHH-004-BD</t>
  </si>
  <si>
    <t>BD - Veolia - Dedicated Fleet</t>
  </si>
  <si>
    <t>VEO-001-BD</t>
  </si>
  <si>
    <t>BD - Veolia - Contract Maintenance</t>
  </si>
  <si>
    <t>VEO-002-BD</t>
  </si>
  <si>
    <t>BD - Veolia - Transportation Sourcing</t>
  </si>
  <si>
    <t>VEO-003-BD</t>
  </si>
  <si>
    <t>BD - Veolia - Spend Cube</t>
  </si>
  <si>
    <t>VEO-004-BD</t>
  </si>
  <si>
    <t>BD - RET - General Transportation</t>
  </si>
  <si>
    <t>RET-001-BD</t>
  </si>
  <si>
    <t>BD - Broadridge - General Transportation</t>
  </si>
  <si>
    <t>BRD-001-BD</t>
  </si>
  <si>
    <t>BD - FIS - General Transportation</t>
  </si>
  <si>
    <t>FIS-001-BD</t>
  </si>
  <si>
    <t>BD - Claire's - General Transportation</t>
  </si>
  <si>
    <t>CLR-001-BD</t>
  </si>
  <si>
    <t>AMN-001-CB</t>
  </si>
  <si>
    <t>CB - Veolia - Freight Pay &amp; Audit</t>
  </si>
  <si>
    <t>VEO-001-CB</t>
  </si>
  <si>
    <t>VEO-002-CB</t>
  </si>
  <si>
    <t>CB - Veolia - Fuel Sourcing</t>
  </si>
  <si>
    <t>VEO-003-CB</t>
  </si>
  <si>
    <t>CB - Lehigh Hanson - Logistics Dashboard</t>
  </si>
  <si>
    <t>LHH-001-CB</t>
  </si>
  <si>
    <t>CB - Lehigh Hanson - Logistics Dashboard II</t>
  </si>
  <si>
    <t>LHH-002-CB</t>
  </si>
  <si>
    <t>CB - Lehigh Hanson - Transportation Sourcing</t>
  </si>
  <si>
    <t>LHH-003-CB</t>
  </si>
  <si>
    <t>CB - Lehigh Hanson - General Sourcing</t>
  </si>
  <si>
    <t>LHH-004-CB</t>
  </si>
  <si>
    <t>CB - FIS - Diagnostic</t>
  </si>
  <si>
    <t>FIS-001-CB</t>
  </si>
  <si>
    <t>IB - Amneal - Packaging RFP</t>
  </si>
  <si>
    <t>AMN-002-CB</t>
  </si>
  <si>
    <t>IB - Amneal - Lab Supplies RFP</t>
  </si>
  <si>
    <t>AMN-003-CB</t>
  </si>
  <si>
    <t>IB - Broadridge - Diagnostic</t>
  </si>
  <si>
    <t>BRD-001-IB</t>
  </si>
  <si>
    <t>IB - DirecTv - Diagnostic</t>
  </si>
  <si>
    <t>DTV-001-IB</t>
  </si>
  <si>
    <t>ID - Impendi Recruiting - Referrals</t>
  </si>
  <si>
    <t>IMP-001-LD</t>
  </si>
  <si>
    <t>ID - Impendi Recruiting - Campus</t>
  </si>
  <si>
    <t>IMP-002-LD</t>
  </si>
  <si>
    <t>ID - Impendi Recruiting - Direct</t>
  </si>
  <si>
    <t>IMP-003-LD</t>
  </si>
  <si>
    <t>ID - Impendi Training - Developing</t>
  </si>
  <si>
    <t>IMP-004-LD</t>
  </si>
  <si>
    <t>ID - Impendi Training - Delivering</t>
  </si>
  <si>
    <t>IMP-005-LD</t>
  </si>
  <si>
    <t>ID - Impendi Training - Attendance</t>
  </si>
  <si>
    <t>IMP-006-LD</t>
  </si>
  <si>
    <t>ID - Impendi Retaining - Coaching</t>
  </si>
  <si>
    <t>IMP-007-LD</t>
  </si>
  <si>
    <t>ID - Impendi Retaining - Mentoring</t>
  </si>
  <si>
    <t>IMP-008-LD</t>
  </si>
  <si>
    <t>ID - Impendi Retaining - Reviews</t>
  </si>
  <si>
    <t>IMP-009-LD</t>
  </si>
  <si>
    <t>ID - Impendi - Professional Seminars/Conferences</t>
  </si>
  <si>
    <t>IMP-010-LD</t>
  </si>
  <si>
    <t>ID - Impendi - Marketing</t>
  </si>
  <si>
    <t>IMP-011-LD</t>
  </si>
  <si>
    <t>ID - Impendi Internal Meetings - Bi-monthly Calls</t>
  </si>
  <si>
    <t>IMP-012-LD</t>
  </si>
  <si>
    <t>ID - Impendi - Unassigned Time</t>
  </si>
  <si>
    <t>IMP-013-LD</t>
  </si>
  <si>
    <t>ID - Impendi - WIN</t>
  </si>
  <si>
    <t>IMP-014-LD</t>
  </si>
  <si>
    <t>LD - LCOE Recruiting - Referrals</t>
  </si>
  <si>
    <t>COE-001-LD</t>
  </si>
  <si>
    <t>LD - LCOE Recruiting - Campus</t>
  </si>
  <si>
    <t>COE-002-LD</t>
  </si>
  <si>
    <t>LD - LCOE Recruiting - Direct</t>
  </si>
  <si>
    <t>COE-003-LD</t>
  </si>
  <si>
    <t>COE-004-LD</t>
  </si>
  <si>
    <t>LD - LCOE Training - Delivering</t>
  </si>
  <si>
    <t>COE-005-LD</t>
  </si>
  <si>
    <t>COE-006-LD</t>
  </si>
  <si>
    <t>LD - LCOE Retaining - Coaching</t>
  </si>
  <si>
    <t>COE-007-LD</t>
  </si>
  <si>
    <t>LD - LCOE Retaining - Mentoring</t>
  </si>
  <si>
    <t>COE-008-LD</t>
  </si>
  <si>
    <t>LD - LCOE Retaining - Reviews</t>
  </si>
  <si>
    <t>COE-009-LD</t>
  </si>
  <si>
    <t>LD - LCOE - Professional Seminars/Conferences</t>
  </si>
  <si>
    <t>COE-010-LD</t>
  </si>
  <si>
    <t>LD - LCOE - Marketing</t>
  </si>
  <si>
    <t>COE-011-LD</t>
  </si>
  <si>
    <t>LD - LCOE Internal Meetings - Bi-monthly Calls</t>
  </si>
  <si>
    <t>COE-012-LD</t>
  </si>
  <si>
    <t>COE-013-LD</t>
  </si>
  <si>
    <t>BD - Veolia - PMI</t>
  </si>
  <si>
    <t>VEO-005-BD</t>
  </si>
  <si>
    <t>Perdue Chicken</t>
  </si>
  <si>
    <t>BD - Perdue Chicken - General Transportation</t>
  </si>
  <si>
    <t>PDC</t>
  </si>
  <si>
    <t>PDC-001-BD</t>
  </si>
  <si>
    <t>ZEP</t>
  </si>
  <si>
    <t>BD - ZEP - General Transportation</t>
  </si>
  <si>
    <t>ZEP-001-BD</t>
  </si>
  <si>
    <t>Miscellaneous</t>
  </si>
  <si>
    <t>BD - Miscellaneous</t>
  </si>
  <si>
    <t>MSC</t>
  </si>
  <si>
    <t>MSC-001-BD</t>
  </si>
  <si>
    <t>CB - Veolia - FP&amp;A Implementation</t>
  </si>
  <si>
    <t>VEO-004-CB</t>
  </si>
  <si>
    <t>CB - RET - Diagnostic</t>
  </si>
  <si>
    <t>RET-001-CB</t>
  </si>
  <si>
    <t>Amneal - Parcel Implementation</t>
  </si>
  <si>
    <t>Amneal - TL/LTL Sourcing</t>
  </si>
  <si>
    <t>Broadridge - General Transportation</t>
  </si>
  <si>
    <t>Claire's - General Transportation</t>
  </si>
  <si>
    <t>FIS - General Transportation</t>
  </si>
  <si>
    <t>General - Assist in Creating Assets</t>
  </si>
  <si>
    <t>General - Prospecting</t>
  </si>
  <si>
    <t>COE-002-BD</t>
  </si>
  <si>
    <t>Lehigh Hanson - Dashboard l</t>
  </si>
  <si>
    <t>Lehigh Hanson - General Sourcing</t>
  </si>
  <si>
    <t>Lehigh Hanson - Transportation Sourcing</t>
  </si>
  <si>
    <t>RET - General Transportation</t>
  </si>
  <si>
    <t>Veolia - Contract Maintenance</t>
  </si>
  <si>
    <t>Veolia - Dedicated Contract Carriage</t>
  </si>
  <si>
    <t>Veolia - Veolia/Suez PMI</t>
  </si>
  <si>
    <t>Veolia - Spend Cube</t>
  </si>
  <si>
    <t>Veolia - Transportation Sourcing</t>
  </si>
  <si>
    <t>ZEP - General Transportation</t>
  </si>
  <si>
    <t>Amneal - Parcel</t>
  </si>
  <si>
    <t>CLR-001-CB</t>
  </si>
  <si>
    <t>FIS - Diagnostic</t>
  </si>
  <si>
    <t>Lehigh Hanson - Logistics Dashboard</t>
  </si>
  <si>
    <t>Lehigh Hanson - Logistics Dashboard II</t>
  </si>
  <si>
    <t>RET - Diagnostic</t>
  </si>
  <si>
    <t>Veolia - FP&amp;A Implementation  Wave ll</t>
  </si>
  <si>
    <t>Veolia - Fuel Sourcing</t>
  </si>
  <si>
    <t>Broadridge - Diagnostic</t>
  </si>
  <si>
    <t>DirecTV</t>
  </si>
  <si>
    <t>DirecTV - Diagnostic</t>
  </si>
  <si>
    <t>Miscellaneous Clients</t>
  </si>
  <si>
    <t>Alliances</t>
  </si>
  <si>
    <t>COE-014-LD</t>
  </si>
  <si>
    <t>Internal Meetings - Bi-weekly Calls</t>
  </si>
  <si>
    <t>015</t>
  </si>
  <si>
    <t>COE-015-LD</t>
  </si>
  <si>
    <t>Sales/Marketing</t>
  </si>
  <si>
    <t>IMP-012-ID</t>
  </si>
  <si>
    <t>IMP-011-ID</t>
  </si>
  <si>
    <t>IMP-010-ID</t>
  </si>
  <si>
    <t>IMP-002-ID</t>
  </si>
  <si>
    <t>IMP-003-ID</t>
  </si>
  <si>
    <t>IMP-001-ID</t>
  </si>
  <si>
    <t>IMP-007-ID</t>
  </si>
  <si>
    <t>IMP-008-ID</t>
  </si>
  <si>
    <t>IMP-009-ID</t>
  </si>
  <si>
    <t>IMP-006-ID</t>
  </si>
  <si>
    <t>IMP-005-ID</t>
  </si>
  <si>
    <t>IMP-004-ID</t>
  </si>
  <si>
    <t>IMP-013-ID</t>
  </si>
  <si>
    <t>IMP-014-ID</t>
  </si>
  <si>
    <t xml:space="preserve">Professional Seminars/Conferences </t>
  </si>
  <si>
    <t>Broadridge - Small Parcel Sourcing</t>
  </si>
  <si>
    <t>BRD-001-CB</t>
  </si>
  <si>
    <t>Confluent</t>
  </si>
  <si>
    <t>Confluent - Diagnostic</t>
  </si>
  <si>
    <t>CON</t>
  </si>
  <si>
    <t>CON-001-CB</t>
  </si>
  <si>
    <t>Juice Plus</t>
  </si>
  <si>
    <t>Juice Plus - General Transportation</t>
  </si>
  <si>
    <t>JCP</t>
  </si>
  <si>
    <t>JCP-001-BD</t>
  </si>
  <si>
    <t>LHH-001-BD</t>
  </si>
  <si>
    <t>Perdue Farms</t>
  </si>
  <si>
    <t>Perdue Farms - General Transportation</t>
  </si>
  <si>
    <t>PDF</t>
  </si>
  <si>
    <t>PDF-001-BD</t>
  </si>
  <si>
    <t>New IPAT Build</t>
  </si>
  <si>
    <t>016</t>
  </si>
  <si>
    <t>017</t>
  </si>
  <si>
    <t>Jaggaer Build</t>
  </si>
  <si>
    <t>COE-016-LD</t>
  </si>
  <si>
    <t>COE-017-LD</t>
  </si>
  <si>
    <t>Bell Canada</t>
  </si>
  <si>
    <t>Bell Canada - General Transportation</t>
  </si>
  <si>
    <t>BLC</t>
  </si>
  <si>
    <t>BLC-001-BD</t>
  </si>
  <si>
    <t>US Logistics</t>
  </si>
  <si>
    <t>US Logistics - Various</t>
  </si>
  <si>
    <t>USL</t>
  </si>
  <si>
    <t>USL-001-CB</t>
  </si>
  <si>
    <t>USL-001-BD</t>
  </si>
  <si>
    <t>US Logistics - FP&amp;A</t>
  </si>
  <si>
    <t>US Logistics - Fuel Sourcing</t>
  </si>
  <si>
    <t>USL-002-CB</t>
  </si>
  <si>
    <t>US Logistics - Fleet</t>
  </si>
  <si>
    <t>USL-003-CB</t>
  </si>
  <si>
    <t>US Logistics - Transportation Sourcing</t>
  </si>
  <si>
    <t>USL-004-CB</t>
  </si>
  <si>
    <t>US Logistics - Contingent Labor</t>
  </si>
  <si>
    <t>USL-005-CB</t>
  </si>
  <si>
    <t>Boobna</t>
  </si>
  <si>
    <t>Anushri</t>
  </si>
  <si>
    <t>Anushri Boobna</t>
  </si>
  <si>
    <t>Clark</t>
  </si>
  <si>
    <t>Steed</t>
  </si>
  <si>
    <t>Steed Clark</t>
  </si>
  <si>
    <t>*Changed week start day to Saturday instead of Monday</t>
  </si>
  <si>
    <t>Lehigh Hanson - Triage</t>
  </si>
  <si>
    <t>LHH-005-CB</t>
  </si>
  <si>
    <t>Internal Meetings</t>
  </si>
  <si>
    <t>Brooks Automation</t>
  </si>
  <si>
    <t>Brooks Automation - Diagnostic</t>
  </si>
  <si>
    <t>BKA</t>
  </si>
  <si>
    <t>BKA-001-BD</t>
  </si>
  <si>
    <t>Cabinetworks</t>
  </si>
  <si>
    <t>Cabinetworks - Diagnostic</t>
  </si>
  <si>
    <t>CTW</t>
  </si>
  <si>
    <t>CTW-001-BD</t>
  </si>
  <si>
    <t>Dunn &amp; Bradstreet</t>
  </si>
  <si>
    <t>Dunn &amp; Bradstreet - Sales</t>
  </si>
  <si>
    <t>DNB</t>
  </si>
  <si>
    <t>DNB-001-BD</t>
  </si>
  <si>
    <t>RET - Jaggaer Support</t>
  </si>
  <si>
    <t>RET-002-BD</t>
  </si>
  <si>
    <t>US Foods</t>
  </si>
  <si>
    <t>US Foods - Diagnostic</t>
  </si>
  <si>
    <t>USF</t>
  </si>
  <si>
    <t>USF-001-BD</t>
  </si>
  <si>
    <t>Smithfield</t>
  </si>
  <si>
    <t>Smithfield - Jaggaer Training</t>
  </si>
  <si>
    <t>SFD</t>
  </si>
  <si>
    <t>SFD-001-CB</t>
  </si>
  <si>
    <t>Version: 2021-1.28</t>
  </si>
  <si>
    <t>training and cost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</si>
</sst>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0.0"/>
  </numFmts>
  <fonts count="19">
    <font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rgb="FFFF0000"/>
      <name val="Arial Narrow"/>
      <family val="2"/>
    </font>
    <font>
      <sz val="10"/>
      <color theme="0"/>
      <name val="Arial Narrow"/>
      <family val="2"/>
    </font>
    <font>
      <sz val="10"/>
      <name val="Arial Narrow"/>
      <family val="2"/>
    </font>
    <font>
      <sz val="12"/>
      <color rgb="FF212121"/>
      <name val="Inherit"/>
    </font>
    <font>
      <b/>
      <sz val="11"/>
      <color theme="0"/>
      <name val="Calibri"/>
      <family val="2"/>
      <scheme val="minor"/>
    </font>
    <font>
      <sz val="8"/>
      <name val="Arial Narrow"/>
      <family val="2"/>
    </font>
    <font>
      <b/>
      <sz val="12"/>
      <color theme="1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CC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2F75B5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C00000"/>
      </right>
      <top style="medium">
        <color indexed="64"/>
      </top>
      <bottom style="medium">
        <color indexed="64"/>
      </bottom>
      <diagonal/>
    </border>
    <border>
      <left style="thin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1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14" fontId="5" fillId="0" borderId="20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4" borderId="0" xfId="0" applyFont="1" applyFill="1"/>
    <xf numFmtId="0" fontId="4" fillId="4" borderId="0" xfId="0" applyFont="1" applyFill="1"/>
    <xf numFmtId="0" fontId="0" fillId="4" borderId="0" xfId="0" applyFont="1" applyFill="1" applyAlignment="1">
      <alignment wrapText="1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14" fontId="5" fillId="0" borderId="0" xfId="0" applyNumberFormat="1" applyFont="1" applyBorder="1" applyAlignment="1">
      <alignment horizontal="center" vertical="center"/>
    </xf>
    <xf numFmtId="0" fontId="10" fillId="0" borderId="0" xfId="0" applyFont="1" applyProtection="1"/>
    <xf numFmtId="0" fontId="11" fillId="0" borderId="0" xfId="0" applyFont="1" applyProtection="1"/>
    <xf numFmtId="0" fontId="10" fillId="0" borderId="6" xfId="2" quotePrefix="1" applyNumberFormat="1" applyFont="1" applyBorder="1" applyAlignment="1" applyProtection="1">
      <alignment horizontal="center" vertical="center"/>
    </xf>
    <xf numFmtId="0" fontId="13" fillId="0" borderId="0" xfId="2" applyNumberFormat="1" applyFont="1" applyAlignment="1" applyProtection="1">
      <alignment horizontal="center"/>
    </xf>
    <xf numFmtId="43" fontId="10" fillId="0" borderId="0" xfId="2" applyFont="1" applyProtection="1"/>
    <xf numFmtId="0" fontId="14" fillId="0" borderId="0" xfId="0" applyFont="1" applyProtection="1"/>
    <xf numFmtId="0" fontId="13" fillId="0" borderId="0" xfId="0" applyFont="1" applyAlignment="1" applyProtection="1">
      <alignment horizontal="center"/>
    </xf>
    <xf numFmtId="0" fontId="10" fillId="5" borderId="1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 applyProtection="1">
      <alignment horizontal="center"/>
    </xf>
    <xf numFmtId="0" fontId="15" fillId="0" borderId="0" xfId="0" applyFont="1" applyAlignment="1">
      <alignment horizontal="left" vertical="center"/>
    </xf>
    <xf numFmtId="39" fontId="10" fillId="2" borderId="8" xfId="0" applyNumberFormat="1" applyFont="1" applyFill="1" applyBorder="1" applyAlignment="1">
      <alignment horizontal="center"/>
    </xf>
    <xf numFmtId="39" fontId="10" fillId="2" borderId="14" xfId="0" applyNumberFormat="1" applyFont="1" applyFill="1" applyBorder="1" applyAlignment="1">
      <alignment horizontal="center"/>
    </xf>
    <xf numFmtId="0" fontId="11" fillId="3" borderId="33" xfId="0" applyFont="1" applyFill="1" applyBorder="1" applyProtection="1"/>
    <xf numFmtId="0" fontId="4" fillId="0" borderId="0" xfId="0" applyFont="1" applyProtection="1"/>
    <xf numFmtId="0" fontId="0" fillId="5" borderId="4" xfId="0" quotePrefix="1" applyFont="1" applyFill="1" applyBorder="1" applyAlignment="1" applyProtection="1">
      <alignment horizontal="center" vertical="center"/>
      <protection locked="0"/>
    </xf>
    <xf numFmtId="0" fontId="0" fillId="5" borderId="7" xfId="0" applyFont="1" applyFill="1" applyBorder="1" applyAlignment="1" applyProtection="1">
      <alignment horizontal="center"/>
      <protection locked="0"/>
    </xf>
    <xf numFmtId="0" fontId="0" fillId="5" borderId="10" xfId="0" applyFont="1" applyFill="1" applyBorder="1" applyAlignment="1" applyProtection="1">
      <alignment horizontal="center"/>
      <protection locked="0"/>
    </xf>
    <xf numFmtId="14" fontId="2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5" fillId="7" borderId="0" xfId="0" applyFont="1" applyFill="1"/>
    <xf numFmtId="0" fontId="0" fillId="4" borderId="42" xfId="0" applyFont="1" applyFill="1" applyBorder="1" applyAlignment="1">
      <alignment horizontal="center" vertical="center"/>
    </xf>
    <xf numFmtId="49" fontId="0" fillId="4" borderId="43" xfId="0" applyNumberFormat="1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49" fontId="0" fillId="4" borderId="45" xfId="0" applyNumberFormat="1" applyFont="1" applyFill="1" applyBorder="1" applyAlignment="1">
      <alignment horizontal="center" vertical="center"/>
    </xf>
    <xf numFmtId="0" fontId="0" fillId="4" borderId="46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 wrapText="1"/>
    </xf>
    <xf numFmtId="0" fontId="0" fillId="4" borderId="52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49" fontId="0" fillId="4" borderId="50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0" fillId="5" borderId="24" xfId="0" applyFont="1" applyFill="1" applyBorder="1" applyAlignment="1" applyProtection="1">
      <alignment horizontal="center" vertical="center"/>
      <protection locked="0"/>
    </xf>
    <xf numFmtId="0" fontId="10" fillId="5" borderId="23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horizontal="left"/>
    </xf>
    <xf numFmtId="0" fontId="0" fillId="0" borderId="0" xfId="0" applyFont="1" applyProtection="1"/>
    <xf numFmtId="39" fontId="10" fillId="2" borderId="8" xfId="0" applyNumberFormat="1" applyFont="1" applyFill="1" applyBorder="1" applyAlignment="1">
      <alignment horizontal="center" vertical="center"/>
    </xf>
    <xf numFmtId="39" fontId="10" fillId="2" borderId="14" xfId="0" applyNumberFormat="1" applyFont="1" applyFill="1" applyBorder="1" applyAlignment="1">
      <alignment horizontal="center" vertical="center"/>
    </xf>
    <xf numFmtId="14" fontId="0" fillId="0" borderId="42" xfId="0" applyNumberFormat="1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14" fontId="0" fillId="0" borderId="44" xfId="0" applyNumberFormat="1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44" fontId="6" fillId="8" borderId="19" xfId="1" applyFont="1" applyFill="1" applyBorder="1" applyAlignment="1">
      <alignment horizontal="right" vertical="center"/>
    </xf>
    <xf numFmtId="0" fontId="3" fillId="8" borderId="16" xfId="0" applyFont="1" applyFill="1" applyBorder="1" applyAlignment="1">
      <alignment horizontal="center" vertical="center" wrapText="1"/>
    </xf>
    <xf numFmtId="0" fontId="3" fillId="8" borderId="18" xfId="0" applyFont="1" applyFill="1" applyBorder="1" applyAlignment="1">
      <alignment horizontal="center" vertical="center" wrapText="1"/>
    </xf>
    <xf numFmtId="0" fontId="3" fillId="8" borderId="39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3" fillId="8" borderId="41" xfId="0" applyFont="1" applyFill="1" applyBorder="1" applyAlignment="1">
      <alignment horizontal="center" vertical="center" wrapText="1"/>
    </xf>
    <xf numFmtId="0" fontId="16" fillId="8" borderId="16" xfId="0" applyFont="1" applyFill="1" applyBorder="1" applyAlignment="1" applyProtection="1">
      <alignment horizontal="center" vertical="center" wrapText="1"/>
    </xf>
    <xf numFmtId="0" fontId="16" fillId="8" borderId="17" xfId="0" applyFont="1" applyFill="1" applyBorder="1" applyAlignment="1" applyProtection="1">
      <alignment horizontal="center" vertical="center" wrapText="1"/>
    </xf>
    <xf numFmtId="0" fontId="16" fillId="8" borderId="17" xfId="2" applyNumberFormat="1" applyFont="1" applyFill="1" applyBorder="1" applyAlignment="1" applyProtection="1">
      <alignment horizontal="center" vertical="center" wrapText="1"/>
    </xf>
    <xf numFmtId="0" fontId="16" fillId="8" borderId="18" xfId="0" applyFont="1" applyFill="1" applyBorder="1" applyAlignment="1" applyProtection="1">
      <alignment horizontal="center" vertical="center" wrapText="1"/>
    </xf>
    <xf numFmtId="0" fontId="16" fillId="8" borderId="38" xfId="0" applyFont="1" applyFill="1" applyBorder="1" applyAlignment="1" applyProtection="1">
      <alignment horizontal="center" vertical="center" wrapText="1"/>
    </xf>
    <xf numFmtId="0" fontId="16" fillId="8" borderId="0" xfId="0" applyFont="1" applyFill="1" applyBorder="1" applyAlignment="1" applyProtection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4" fontId="1" fillId="0" borderId="2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4" fontId="1" fillId="0" borderId="14" xfId="0" applyNumberFormat="1" applyFont="1" applyBorder="1" applyAlignment="1">
      <alignment horizontal="center" vertical="center"/>
    </xf>
    <xf numFmtId="0" fontId="1" fillId="0" borderId="29" xfId="2" applyNumberFormat="1" applyFont="1" applyBorder="1" applyAlignment="1">
      <alignment horizontal="center" vertical="center"/>
    </xf>
    <xf numFmtId="0" fontId="1" fillId="0" borderId="11" xfId="2" applyNumberFormat="1" applyFont="1" applyBorder="1" applyAlignment="1">
      <alignment horizontal="center" vertical="center"/>
    </xf>
    <xf numFmtId="0" fontId="1" fillId="0" borderId="14" xfId="2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43" fontId="1" fillId="6" borderId="7" xfId="2" applyFont="1" applyFill="1" applyBorder="1" applyAlignment="1">
      <alignment horizontal="center" vertical="center"/>
    </xf>
    <xf numFmtId="43" fontId="1" fillId="6" borderId="9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43" fontId="1" fillId="6" borderId="10" xfId="2" applyFont="1" applyFill="1" applyBorder="1" applyAlignment="1">
      <alignment horizontal="center" vertical="center"/>
    </xf>
    <xf numFmtId="43" fontId="1" fillId="6" borderId="12" xfId="0" applyNumberFormat="1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3" fillId="8" borderId="2" xfId="0" applyFont="1" applyFill="1" applyBorder="1" applyAlignment="1" applyProtection="1">
      <alignment horizontal="center"/>
    </xf>
    <xf numFmtId="0" fontId="3" fillId="8" borderId="3" xfId="0" applyFont="1" applyFill="1" applyBorder="1" applyAlignment="1" applyProtection="1">
      <alignment horizontal="center" vertical="center"/>
    </xf>
    <xf numFmtId="164" fontId="3" fillId="8" borderId="5" xfId="0" applyNumberFormat="1" applyFont="1" applyFill="1" applyBorder="1" applyAlignment="1" applyProtection="1">
      <alignment horizontal="center"/>
    </xf>
    <xf numFmtId="0" fontId="3" fillId="8" borderId="6" xfId="0" applyFont="1" applyFill="1" applyBorder="1" applyAlignment="1" applyProtection="1">
      <alignment horizontal="center" vertical="center"/>
    </xf>
    <xf numFmtId="0" fontId="3" fillId="8" borderId="1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 wrapText="1"/>
    </xf>
    <xf numFmtId="0" fontId="3" fillId="8" borderId="30" xfId="0" applyFont="1" applyFill="1" applyBorder="1" applyAlignment="1">
      <alignment horizontal="center" vertical="center"/>
    </xf>
    <xf numFmtId="0" fontId="3" fillId="8" borderId="31" xfId="0" applyFont="1" applyFill="1" applyBorder="1" applyAlignment="1">
      <alignment horizontal="center" vertical="center"/>
    </xf>
    <xf numFmtId="0" fontId="3" fillId="8" borderId="32" xfId="0" applyFont="1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14" fontId="0" fillId="0" borderId="54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4" fontId="0" fillId="0" borderId="55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56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10" fillId="5" borderId="10" xfId="0" applyFont="1" applyFill="1" applyBorder="1" applyAlignment="1" applyProtection="1">
      <alignment horizontal="center"/>
    </xf>
    <xf numFmtId="0" fontId="0" fillId="5" borderId="23" xfId="0" applyFont="1" applyFill="1" applyBorder="1" applyAlignment="1" applyProtection="1">
      <alignment horizontal="center" vertical="center"/>
      <protection locked="0"/>
    </xf>
    <xf numFmtId="49" fontId="0" fillId="4" borderId="51" xfId="0" applyNumberFormat="1" applyFont="1" applyFill="1" applyBorder="1" applyAlignment="1">
      <alignment horizontal="center" vertical="center"/>
    </xf>
    <xf numFmtId="165" fontId="10" fillId="5" borderId="8" xfId="2" applyNumberFormat="1" applyFont="1" applyFill="1" applyBorder="1" applyAlignment="1" applyProtection="1">
      <alignment horizontal="center" vertical="center"/>
      <protection locked="0"/>
    </xf>
    <xf numFmtId="165" fontId="10" fillId="6" borderId="8" xfId="2" applyNumberFormat="1" applyFont="1" applyFill="1" applyBorder="1" applyAlignment="1" applyProtection="1">
      <alignment horizontal="center" vertical="center"/>
      <protection locked="0"/>
    </xf>
    <xf numFmtId="165" fontId="10" fillId="3" borderId="9" xfId="2" applyNumberFormat="1" applyFont="1" applyFill="1" applyBorder="1" applyAlignment="1" applyProtection="1">
      <alignment horizontal="center" vertical="center"/>
    </xf>
    <xf numFmtId="165" fontId="10" fillId="5" borderId="11" xfId="2" applyNumberFormat="1" applyFont="1" applyFill="1" applyBorder="1" applyAlignment="1" applyProtection="1">
      <alignment horizontal="center" vertical="center"/>
      <protection locked="0"/>
    </xf>
    <xf numFmtId="165" fontId="10" fillId="6" borderId="11" xfId="2" applyNumberFormat="1" applyFont="1" applyFill="1" applyBorder="1" applyAlignment="1" applyProtection="1">
      <alignment horizontal="center" vertical="center"/>
      <protection locked="0"/>
    </xf>
    <xf numFmtId="165" fontId="10" fillId="3" borderId="12" xfId="2" applyNumberFormat="1" applyFont="1" applyFill="1" applyBorder="1" applyAlignment="1" applyProtection="1">
      <alignment horizontal="center" vertical="center"/>
    </xf>
    <xf numFmtId="165" fontId="10" fillId="5" borderId="14" xfId="2" applyNumberFormat="1" applyFont="1" applyFill="1" applyBorder="1" applyAlignment="1" applyProtection="1">
      <alignment horizontal="center" vertical="center"/>
      <protection locked="0"/>
    </xf>
    <xf numFmtId="165" fontId="10" fillId="6" borderId="14" xfId="2" applyNumberFormat="1" applyFont="1" applyFill="1" applyBorder="1" applyAlignment="1" applyProtection="1">
      <alignment horizontal="center" vertical="center"/>
      <protection locked="0"/>
    </xf>
    <xf numFmtId="165" fontId="10" fillId="3" borderId="15" xfId="2" applyNumberFormat="1" applyFont="1" applyFill="1" applyBorder="1" applyAlignment="1" applyProtection="1">
      <alignment horizontal="center" vertical="center"/>
    </xf>
    <xf numFmtId="165" fontId="11" fillId="3" borderId="34" xfId="2" applyNumberFormat="1" applyFont="1" applyFill="1" applyBorder="1" applyAlignment="1" applyProtection="1">
      <alignment horizontal="center" vertical="center"/>
    </xf>
    <xf numFmtId="165" fontId="11" fillId="3" borderId="35" xfId="2" applyNumberFormat="1" applyFont="1" applyFill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/>
      <protection locked="0"/>
    </xf>
    <xf numFmtId="0" fontId="6" fillId="8" borderId="57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 wrapText="1"/>
    </xf>
    <xf numFmtId="0" fontId="6" fillId="8" borderId="59" xfId="0" applyFont="1" applyFill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" vertical="center"/>
    </xf>
    <xf numFmtId="164" fontId="5" fillId="0" borderId="55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0" fillId="4" borderId="45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8" borderId="17" xfId="0" applyFont="1" applyFill="1" applyBorder="1" applyAlignment="1">
      <alignment horizontal="center" vertical="center" wrapText="1"/>
    </xf>
    <xf numFmtId="49" fontId="0" fillId="4" borderId="47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7" xfId="0" applyFill="1" applyBorder="1"/>
    <xf numFmtId="49" fontId="0" fillId="4" borderId="9" xfId="0" applyNumberFormat="1" applyFill="1" applyBorder="1"/>
    <xf numFmtId="0" fontId="0" fillId="4" borderId="10" xfId="0" applyFill="1" applyBorder="1"/>
    <xf numFmtId="49" fontId="0" fillId="4" borderId="12" xfId="0" applyNumberFormat="1" applyFill="1" applyBorder="1"/>
    <xf numFmtId="0" fontId="0" fillId="4" borderId="13" xfId="0" applyFill="1" applyBorder="1"/>
    <xf numFmtId="49" fontId="0" fillId="4" borderId="15" xfId="0" applyNumberFormat="1" applyFill="1" applyBorder="1"/>
    <xf numFmtId="0" fontId="18" fillId="4" borderId="0" xfId="0" applyFont="1" applyFill="1"/>
    <xf numFmtId="0" fontId="3" fillId="0" borderId="61" xfId="0" applyFont="1" applyBorder="1"/>
    <xf numFmtId="0" fontId="0" fillId="4" borderId="0" xfId="0" applyFill="1" applyAlignment="1">
      <alignment wrapText="1"/>
    </xf>
    <xf numFmtId="0" fontId="3" fillId="10" borderId="4" xfId="0" applyFont="1" applyFill="1" applyBorder="1" applyAlignment="1">
      <alignment horizontal="center" wrapText="1"/>
    </xf>
    <xf numFmtId="0" fontId="3" fillId="10" borderId="5" xfId="0" applyFont="1" applyFill="1" applyBorder="1" applyAlignment="1">
      <alignment horizontal="center" wrapText="1"/>
    </xf>
    <xf numFmtId="0" fontId="3" fillId="10" borderId="6" xfId="0" applyFont="1" applyFill="1" applyBorder="1" applyAlignment="1">
      <alignment horizontal="center" wrapText="1"/>
    </xf>
    <xf numFmtId="49" fontId="0" fillId="4" borderId="8" xfId="0" applyNumberFormat="1" applyFill="1" applyBorder="1"/>
    <xf numFmtId="0" fontId="0" fillId="4" borderId="8" xfId="0" applyFill="1" applyBorder="1"/>
    <xf numFmtId="49" fontId="0" fillId="4" borderId="8" xfId="0" applyNumberFormat="1" applyFill="1" applyBorder="1" applyAlignment="1">
      <alignment horizontal="center"/>
    </xf>
    <xf numFmtId="49" fontId="0" fillId="4" borderId="8" xfId="0" quotePrefix="1" applyNumberFormat="1" applyFill="1" applyBorder="1" applyAlignment="1">
      <alignment horizontal="center"/>
    </xf>
    <xf numFmtId="0" fontId="0" fillId="4" borderId="62" xfId="0" quotePrefix="1" applyFill="1" applyBorder="1"/>
    <xf numFmtId="0" fontId="0" fillId="4" borderId="9" xfId="0" applyFill="1" applyBorder="1"/>
    <xf numFmtId="0" fontId="0" fillId="4" borderId="21" xfId="0" applyFill="1" applyBorder="1"/>
    <xf numFmtId="49" fontId="0" fillId="4" borderId="29" xfId="0" applyNumberFormat="1" applyFill="1" applyBorder="1"/>
    <xf numFmtId="0" fontId="0" fillId="4" borderId="11" xfId="0" applyFill="1" applyBorder="1"/>
    <xf numFmtId="0" fontId="0" fillId="4" borderId="29" xfId="0" applyFill="1" applyBorder="1"/>
    <xf numFmtId="49" fontId="0" fillId="4" borderId="29" xfId="0" applyNumberFormat="1" applyFill="1" applyBorder="1" applyAlignment="1">
      <alignment horizontal="center"/>
    </xf>
    <xf numFmtId="49" fontId="0" fillId="4" borderId="29" xfId="0" quotePrefix="1" applyNumberFormat="1" applyFill="1" applyBorder="1" applyAlignment="1">
      <alignment horizontal="center"/>
    </xf>
    <xf numFmtId="0" fontId="0" fillId="4" borderId="37" xfId="0" quotePrefix="1" applyFill="1" applyBorder="1"/>
    <xf numFmtId="0" fontId="0" fillId="4" borderId="12" xfId="0" applyFill="1" applyBorder="1"/>
    <xf numFmtId="0" fontId="0" fillId="4" borderId="29" xfId="0" applyFill="1" applyBorder="1" applyAlignment="1">
      <alignment horizontal="center"/>
    </xf>
    <xf numFmtId="49" fontId="0" fillId="4" borderId="29" xfId="0" quotePrefix="1" applyNumberFormat="1" applyFill="1" applyBorder="1"/>
    <xf numFmtId="49" fontId="0" fillId="4" borderId="11" xfId="0" applyNumberFormat="1" applyFill="1" applyBorder="1" applyAlignment="1">
      <alignment horizontal="center"/>
    </xf>
    <xf numFmtId="49" fontId="0" fillId="4" borderId="11" xfId="0" applyNumberFormat="1" applyFill="1" applyBorder="1"/>
    <xf numFmtId="49" fontId="0" fillId="4" borderId="11" xfId="0" quotePrefix="1" applyNumberFormat="1" applyFill="1" applyBorder="1" applyAlignment="1">
      <alignment horizontal="center"/>
    </xf>
    <xf numFmtId="49" fontId="0" fillId="4" borderId="11" xfId="0" quotePrefix="1" applyNumberFormat="1" applyFill="1" applyBorder="1"/>
    <xf numFmtId="0" fontId="0" fillId="4" borderId="36" xfId="0" quotePrefix="1" applyFill="1" applyBorder="1"/>
    <xf numFmtId="39" fontId="10" fillId="2" borderId="14" xfId="0" applyNumberFormat="1" applyFont="1" applyFill="1" applyBorder="1" applyAlignment="1" applyProtection="1">
      <alignment horizontal="center"/>
      <protection locked="0"/>
    </xf>
    <xf numFmtId="0" fontId="14" fillId="4" borderId="21" xfId="0" applyFont="1" applyFill="1" applyBorder="1" applyAlignment="1">
      <alignment horizontal="center" vertical="center"/>
    </xf>
    <xf numFmtId="49" fontId="14" fillId="4" borderId="29" xfId="0" applyNumberFormat="1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49" fontId="14" fillId="4" borderId="29" xfId="0" quotePrefix="1" applyNumberFormat="1" applyFont="1" applyFill="1" applyBorder="1" applyAlignment="1">
      <alignment horizontal="center" vertical="center"/>
    </xf>
    <xf numFmtId="0" fontId="14" fillId="4" borderId="37" xfId="0" quotePrefix="1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49" fontId="14" fillId="4" borderId="11" xfId="0" applyNumberFormat="1" applyFont="1" applyFill="1" applyBorder="1" applyAlignment="1">
      <alignment horizontal="center" vertical="center"/>
    </xf>
    <xf numFmtId="49" fontId="14" fillId="4" borderId="11" xfId="0" quotePrefix="1" applyNumberFormat="1" applyFont="1" applyFill="1" applyBorder="1" applyAlignment="1">
      <alignment horizontal="center" vertical="center"/>
    </xf>
    <xf numFmtId="0" fontId="14" fillId="4" borderId="36" xfId="0" quotePrefix="1" applyFont="1" applyFill="1" applyBorder="1" applyAlignment="1">
      <alignment horizontal="center" vertical="center"/>
    </xf>
    <xf numFmtId="0" fontId="0" fillId="5" borderId="10" xfId="0" applyFill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2" fillId="5" borderId="10" xfId="0" applyFont="1" applyFill="1" applyBorder="1" applyAlignment="1" applyProtection="1">
      <alignment horizontal="left"/>
      <protection locked="0"/>
    </xf>
    <xf numFmtId="39" fontId="2" fillId="2" borderId="8" xfId="0" applyNumberFormat="1" applyFont="1" applyFill="1" applyBorder="1" applyAlignment="1" applyProtection="1">
      <alignment horizontal="center"/>
      <protection locked="0"/>
    </xf>
    <xf numFmtId="0" fontId="0" fillId="4" borderId="63" xfId="0" applyFont="1" applyFill="1" applyBorder="1" applyAlignment="1">
      <alignment horizontal="center" vertical="center"/>
    </xf>
    <xf numFmtId="165" fontId="2" fillId="5" borderId="11" xfId="2" applyNumberFormat="1" applyFont="1" applyFill="1" applyBorder="1" applyAlignment="1" applyProtection="1">
      <alignment horizontal="center" vertical="center"/>
      <protection locked="0"/>
    </xf>
    <xf numFmtId="165" fontId="2" fillId="5" borderId="8" xfId="2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/>
    </xf>
    <xf numFmtId="165" fontId="2" fillId="5" borderId="64" xfId="2" applyNumberFormat="1" applyFont="1" applyFill="1" applyBorder="1" applyAlignment="1" applyProtection="1">
      <alignment horizontal="center" vertical="center"/>
      <protection locked="0"/>
    </xf>
    <xf numFmtId="165" fontId="10" fillId="3" borderId="65" xfId="2" applyNumberFormat="1" applyFont="1" applyFill="1" applyBorder="1" applyAlignment="1" applyProtection="1">
      <alignment horizontal="center" vertical="center"/>
    </xf>
    <xf numFmtId="165" fontId="10" fillId="3" borderId="66" xfId="2" applyNumberFormat="1" applyFont="1" applyFill="1" applyBorder="1" applyAlignment="1" applyProtection="1">
      <alignment horizontal="center" vertical="center"/>
    </xf>
    <xf numFmtId="165" fontId="2" fillId="5" borderId="24" xfId="2" applyNumberFormat="1" applyFont="1" applyFill="1" applyBorder="1" applyAlignment="1" applyProtection="1">
      <alignment horizontal="center" vertical="center"/>
      <protection locked="0"/>
    </xf>
    <xf numFmtId="165" fontId="2" fillId="5" borderId="67" xfId="2" applyNumberFormat="1" applyFont="1" applyFill="1" applyBorder="1" applyAlignment="1" applyProtection="1">
      <alignment horizontal="center" vertical="center"/>
      <protection locked="0"/>
    </xf>
    <xf numFmtId="165" fontId="2" fillId="5" borderId="14" xfId="2" applyNumberFormat="1" applyFont="1" applyFill="1" applyBorder="1" applyAlignment="1" applyProtection="1">
      <alignment horizontal="center" vertical="center"/>
      <protection locked="0"/>
    </xf>
    <xf numFmtId="165" fontId="2" fillId="6" borderId="11" xfId="2" applyNumberFormat="1" applyFont="1" applyFill="1" applyBorder="1" applyAlignment="1" applyProtection="1">
      <alignment horizontal="center" vertical="center"/>
      <protection locked="0"/>
    </xf>
    <xf numFmtId="165" fontId="2" fillId="6" borderId="8" xfId="2" applyNumberFormat="1" applyFont="1" applyFill="1" applyBorder="1" applyAlignment="1" applyProtection="1">
      <alignment horizontal="center" vertical="center"/>
      <protection locked="0"/>
    </xf>
    <xf numFmtId="0" fontId="0" fillId="2" borderId="7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10" fillId="2" borderId="14" xfId="0" applyFont="1" applyFill="1" applyBorder="1" applyAlignment="1" applyProtection="1">
      <alignment horizontal="center"/>
    </xf>
    <xf numFmtId="0" fontId="11" fillId="3" borderId="27" xfId="0" applyFont="1" applyFill="1" applyBorder="1" applyAlignment="1" applyProtection="1">
      <alignment horizontal="center"/>
    </xf>
    <xf numFmtId="0" fontId="11" fillId="3" borderId="26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wrapText="1"/>
    </xf>
    <xf numFmtId="0" fontId="3" fillId="8" borderId="1" xfId="0" applyFont="1" applyFill="1" applyBorder="1" applyAlignment="1" applyProtection="1">
      <alignment horizontal="center" vertical="center" wrapText="1"/>
    </xf>
    <xf numFmtId="0" fontId="3" fillId="8" borderId="4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/>
    </xf>
    <xf numFmtId="0" fontId="3" fillId="8" borderId="5" xfId="0" applyFont="1" applyFill="1" applyBorder="1" applyAlignment="1" applyProtection="1">
      <alignment horizontal="center" vertical="center"/>
    </xf>
    <xf numFmtId="49" fontId="0" fillId="4" borderId="56" xfId="0" applyNumberFormat="1" applyFont="1" applyFill="1" applyBorder="1" applyAlignment="1">
      <alignment horizontal="left" vertical="center"/>
    </xf>
    <xf numFmtId="49" fontId="0" fillId="4" borderId="47" xfId="0" applyNumberFormat="1" applyFont="1" applyFill="1" applyBorder="1" applyAlignment="1">
      <alignment horizontal="left" vertical="center"/>
    </xf>
    <xf numFmtId="49" fontId="0" fillId="4" borderId="54" xfId="0" applyNumberFormat="1" applyFont="1" applyFill="1" applyBorder="1" applyAlignment="1">
      <alignment horizontal="left" vertical="center"/>
    </xf>
    <xf numFmtId="49" fontId="0" fillId="4" borderId="43" xfId="0" applyNumberFormat="1" applyFont="1" applyFill="1" applyBorder="1" applyAlignment="1">
      <alignment horizontal="left" vertical="center"/>
    </xf>
    <xf numFmtId="49" fontId="0" fillId="4" borderId="55" xfId="0" applyNumberFormat="1" applyFont="1" applyFill="1" applyBorder="1" applyAlignment="1">
      <alignment horizontal="left" vertical="center"/>
    </xf>
    <xf numFmtId="49" fontId="0" fillId="4" borderId="45" xfId="0" applyNumberFormat="1" applyFont="1" applyFill="1" applyBorder="1" applyAlignment="1">
      <alignment horizontal="left" vertical="center"/>
    </xf>
    <xf numFmtId="0" fontId="0" fillId="4" borderId="55" xfId="0" applyFont="1" applyFill="1" applyBorder="1" applyAlignment="1">
      <alignment horizontal="left" vertical="center"/>
    </xf>
    <xf numFmtId="0" fontId="0" fillId="4" borderId="45" xfId="0" applyFont="1" applyFill="1" applyBorder="1" applyAlignment="1">
      <alignment horizontal="left" vertical="center"/>
    </xf>
    <xf numFmtId="0" fontId="3" fillId="8" borderId="6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44" fontId="3" fillId="8" borderId="25" xfId="1" applyFont="1" applyFill="1" applyBorder="1" applyAlignment="1">
      <alignment horizontal="center" vertical="center"/>
    </xf>
    <xf numFmtId="44" fontId="3" fillId="8" borderId="48" xfId="1" applyFont="1" applyFill="1" applyBorder="1" applyAlignment="1">
      <alignment horizontal="center" vertical="center"/>
    </xf>
    <xf numFmtId="0" fontId="3" fillId="8" borderId="53" xfId="0" applyFont="1" applyFill="1" applyBorder="1" applyAlignment="1">
      <alignment horizontal="center" vertical="center" wrapText="1"/>
    </xf>
    <xf numFmtId="0" fontId="3" fillId="8" borderId="49" xfId="0" applyFont="1" applyFill="1" applyBorder="1" applyAlignment="1">
      <alignment horizontal="center" vertical="center" wrapText="1"/>
    </xf>
    <xf numFmtId="0" fontId="3" fillId="8" borderId="27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44" fontId="3" fillId="8" borderId="1" xfId="1" applyFont="1" applyFill="1" applyBorder="1" applyAlignment="1">
      <alignment horizontal="center" vertical="center"/>
    </xf>
    <xf numFmtId="44" fontId="3" fillId="8" borderId="4" xfId="1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3" fillId="9" borderId="27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44" fontId="3" fillId="9" borderId="1" xfId="1" applyFont="1" applyFill="1" applyBorder="1" applyAlignment="1">
      <alignment horizontal="center" vertical="center"/>
    </xf>
    <xf numFmtId="44" fontId="3" fillId="9" borderId="4" xfId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7" fillId="8" borderId="32" xfId="0" applyFont="1" applyFill="1" applyBorder="1" applyAlignment="1">
      <alignment horizontal="center" vertical="center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2F75B5"/>
      <color rgb="FFCC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406400</xdr:colOff>
          <xdr:row>1</xdr:row>
          <xdr:rowOff>0</xdr:rowOff>
        </xdr:from>
        <xdr:to>
          <xdr:col>12</xdr:col>
          <xdr:colOff>457200</xdr:colOff>
          <xdr:row>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12700</xdr:colOff>
      <xdr:row>0</xdr:row>
      <xdr:rowOff>12700</xdr:rowOff>
    </xdr:from>
    <xdr:to>
      <xdr:col>3</xdr:col>
      <xdr:colOff>625475</xdr:colOff>
      <xdr:row>2</xdr:row>
      <xdr:rowOff>142196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362075" cy="459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406400</xdr:colOff>
          <xdr:row>3</xdr:row>
          <xdr:rowOff>0</xdr:rowOff>
        </xdr:from>
        <xdr:to>
          <xdr:col>12</xdr:col>
          <xdr:colOff>457200</xdr:colOff>
          <xdr:row>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</xdr:colOff>
      <xdr:row>0</xdr:row>
      <xdr:rowOff>38100</xdr:rowOff>
    </xdr:from>
    <xdr:to>
      <xdr:col>3</xdr:col>
      <xdr:colOff>625475</xdr:colOff>
      <xdr:row>3</xdr:row>
      <xdr:rowOff>6350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38100"/>
          <a:ext cx="1371600" cy="454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83344</xdr:colOff>
      <xdr:row>0</xdr:row>
      <xdr:rowOff>15876</xdr:rowOff>
    </xdr:from>
    <xdr:to>
      <xdr:col>2</xdr:col>
      <xdr:colOff>817563</xdr:colOff>
      <xdr:row>2</xdr:row>
      <xdr:rowOff>92076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44" y="15876"/>
          <a:ext cx="1369219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50450</xdr:colOff>
      <xdr:row>2</xdr:row>
      <xdr:rowOff>26988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1371250" cy="41116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tthewBurgess\Desktop\TimeTracking%20Files\LCOE%20Timesheet\Copy%20of%202018-Week%2036%20Time%20Report%20Submission%20For%20Nathan%20Co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 Entry - Impendi"/>
      <sheetName val="Data Upload - Impendi"/>
      <sheetName val="Week Numbers - Impendi"/>
      <sheetName val="Bill Code Master - Impendi"/>
      <sheetName val="Bill Code Accounts - Impendi"/>
      <sheetName val="Employee Master - Impendi"/>
      <sheetName val="Time Entry - Breakthrough"/>
      <sheetName val="Data Upload"/>
      <sheetName val="Week Numbers"/>
      <sheetName val="Bill Code Master"/>
      <sheetName val="Bill Code Accounts"/>
      <sheetName val="Employee Master"/>
      <sheetName val="States 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>
            <v>43290</v>
          </cell>
        </row>
        <row r="4">
          <cell r="A4">
            <v>43297</v>
          </cell>
        </row>
        <row r="5">
          <cell r="A5">
            <v>43304</v>
          </cell>
        </row>
        <row r="6">
          <cell r="A6">
            <v>43311</v>
          </cell>
        </row>
        <row r="7">
          <cell r="A7">
            <v>43318</v>
          </cell>
        </row>
        <row r="8">
          <cell r="A8">
            <v>43325</v>
          </cell>
        </row>
        <row r="9">
          <cell r="A9">
            <v>43332</v>
          </cell>
        </row>
        <row r="10">
          <cell r="A10">
            <v>43339</v>
          </cell>
        </row>
        <row r="11">
          <cell r="A11">
            <v>43346</v>
          </cell>
        </row>
        <row r="12">
          <cell r="A12">
            <v>43353</v>
          </cell>
        </row>
        <row r="13">
          <cell r="A13">
            <v>43360</v>
          </cell>
        </row>
        <row r="14">
          <cell r="A14">
            <v>43367</v>
          </cell>
        </row>
        <row r="15">
          <cell r="A15">
            <v>43374</v>
          </cell>
        </row>
        <row r="16">
          <cell r="A16">
            <v>43381</v>
          </cell>
        </row>
        <row r="17">
          <cell r="A17">
            <v>43388</v>
          </cell>
        </row>
        <row r="18">
          <cell r="A18">
            <v>43395</v>
          </cell>
        </row>
        <row r="19">
          <cell r="A19">
            <v>43402</v>
          </cell>
        </row>
        <row r="20">
          <cell r="A20">
            <v>43409</v>
          </cell>
        </row>
        <row r="21">
          <cell r="A21">
            <v>43416</v>
          </cell>
        </row>
        <row r="22">
          <cell r="A22">
            <v>43423</v>
          </cell>
        </row>
        <row r="23">
          <cell r="A23">
            <v>43430</v>
          </cell>
        </row>
        <row r="24">
          <cell r="A24">
            <v>43437</v>
          </cell>
        </row>
        <row r="25">
          <cell r="A25">
            <v>43444</v>
          </cell>
        </row>
        <row r="26">
          <cell r="A26">
            <v>43451</v>
          </cell>
        </row>
        <row r="27">
          <cell r="A27">
            <v>43458</v>
          </cell>
        </row>
      </sheetData>
      <sheetData sheetId="9"/>
      <sheetData sheetId="10"/>
      <sheetData sheetId="11">
        <row r="5">
          <cell r="C5" t="str">
            <v>Andrew Gangone</v>
          </cell>
        </row>
        <row r="6">
          <cell r="C6" t="str">
            <v>Brooks Bentz</v>
          </cell>
        </row>
        <row r="7">
          <cell r="C7" t="str">
            <v>Chris Lange</v>
          </cell>
        </row>
        <row r="8">
          <cell r="C8" t="str">
            <v>Cody Reynolds</v>
          </cell>
        </row>
        <row r="9">
          <cell r="C9" t="str">
            <v>Jeffrey Ryan</v>
          </cell>
        </row>
        <row r="10">
          <cell r="C10" t="str">
            <v>Jennifer Kling</v>
          </cell>
        </row>
        <row r="11">
          <cell r="C11" t="str">
            <v>Jeremy Becker</v>
          </cell>
        </row>
        <row r="12">
          <cell r="C12" t="str">
            <v>Les Vandagriff</v>
          </cell>
        </row>
        <row r="13">
          <cell r="C13" t="str">
            <v>Mary Schoals</v>
          </cell>
        </row>
        <row r="14">
          <cell r="C14" t="str">
            <v>Nathan Berglund</v>
          </cell>
        </row>
        <row r="15">
          <cell r="C15" t="str">
            <v>Nathan Cory</v>
          </cell>
        </row>
        <row r="16">
          <cell r="C16" t="str">
            <v>Scott Fata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83C7B-B91A-40D1-8973-43351CB3859A}">
  <sheetPr codeName="Sheet10">
    <pageSetUpPr fitToPage="1"/>
  </sheetPr>
  <dimension ref="A2:R33"/>
  <sheetViews>
    <sheetView showGridLines="0" zoomScaleNormal="100" workbookViewId="0">
      <selection activeCell="D16" sqref="D16"/>
    </sheetView>
  </sheetViews>
  <sheetFormatPr defaultColWidth="9.33203125" defaultRowHeight="13"/>
  <cols>
    <col min="1" max="1" width="1.33203125" style="12" customWidth="1"/>
    <col min="2" max="2" width="2.6640625" style="12" bestFit="1" customWidth="1"/>
    <col min="3" max="3" width="9.109375" style="12" customWidth="1"/>
    <col min="4" max="4" width="68.44140625" style="12" bestFit="1" customWidth="1"/>
    <col min="5" max="5" width="18.109375" style="12" customWidth="1"/>
    <col min="6" max="6" width="15.88671875" style="12" customWidth="1"/>
    <col min="7" max="7" width="9.33203125" style="12" bestFit="1" customWidth="1"/>
    <col min="8" max="13" width="8.88671875" style="12" customWidth="1"/>
    <col min="14" max="14" width="14.33203125" style="12" bestFit="1" customWidth="1"/>
    <col min="15" max="16384" width="9.33203125" style="12"/>
  </cols>
  <sheetData>
    <row r="2" spans="1:18">
      <c r="F2" s="216"/>
      <c r="G2" s="216"/>
      <c r="O2" s="217" t="str">
        <f>IF(N31&lt;40,"You have submitted less than 40 hours, please review!","")</f>
        <v>You have submitted less than 40 hours, please review!</v>
      </c>
      <c r="P2" s="217"/>
    </row>
    <row r="3" spans="1:18" ht="14.5" customHeight="1" thickBot="1">
      <c r="O3" s="217"/>
      <c r="P3" s="217"/>
      <c r="R3" s="54"/>
    </row>
    <row r="4" spans="1:18" ht="12.75" customHeight="1">
      <c r="D4" s="100" t="s">
        <v>47</v>
      </c>
      <c r="E4" s="101" t="s">
        <v>37</v>
      </c>
      <c r="F4" s="97" t="s">
        <v>48</v>
      </c>
      <c r="G4" s="13"/>
      <c r="O4" s="217"/>
      <c r="P4" s="217"/>
    </row>
    <row r="5" spans="1:18" ht="14.25" customHeight="1" thickBot="1">
      <c r="D5" s="26" t="s">
        <v>252</v>
      </c>
      <c r="E5" s="29">
        <v>44508</v>
      </c>
      <c r="F5" s="14">
        <f>IF(E5="","",(VLOOKUP(E5,'Week Number Master'!$B$4:$C$67,2,0)))</f>
        <v>46</v>
      </c>
      <c r="G5" s="15">
        <f ca="1">YEAR(TODAY())</f>
        <v>2022</v>
      </c>
      <c r="O5" s="217"/>
      <c r="P5" s="217"/>
    </row>
    <row r="6" spans="1:18" ht="12.75" customHeight="1" thickBot="1">
      <c r="F6" s="16"/>
      <c r="G6" s="16"/>
      <c r="H6" s="16"/>
      <c r="I6" s="16"/>
      <c r="J6" s="16"/>
      <c r="K6" s="16"/>
      <c r="L6" s="16"/>
    </row>
    <row r="7" spans="1:18">
      <c r="C7" s="218" t="s">
        <v>46</v>
      </c>
      <c r="D7" s="220" t="s">
        <v>254</v>
      </c>
      <c r="E7" s="220" t="s">
        <v>12</v>
      </c>
      <c r="F7" s="220" t="s">
        <v>52</v>
      </c>
      <c r="G7" s="96" t="s">
        <v>1</v>
      </c>
      <c r="H7" s="96" t="s">
        <v>2</v>
      </c>
      <c r="I7" s="96" t="s">
        <v>3</v>
      </c>
      <c r="J7" s="96" t="s">
        <v>4</v>
      </c>
      <c r="K7" s="96" t="s">
        <v>5</v>
      </c>
      <c r="L7" s="96" t="s">
        <v>6</v>
      </c>
      <c r="M7" s="96" t="s">
        <v>7</v>
      </c>
      <c r="N7" s="97" t="s">
        <v>272</v>
      </c>
    </row>
    <row r="8" spans="1:18" ht="13.5" thickBot="1">
      <c r="C8" s="219"/>
      <c r="D8" s="221"/>
      <c r="E8" s="221"/>
      <c r="F8" s="221"/>
      <c r="G8" s="98">
        <f>IF($F$5="","",$E$5)</f>
        <v>44508</v>
      </c>
      <c r="H8" s="98">
        <f>IF($E$5="","",(G8+1))</f>
        <v>44509</v>
      </c>
      <c r="I8" s="98">
        <f t="shared" ref="I8:M8" si="0">IF($E$5="","",(H8+1))</f>
        <v>44510</v>
      </c>
      <c r="J8" s="98">
        <f t="shared" si="0"/>
        <v>44511</v>
      </c>
      <c r="K8" s="98">
        <f t="shared" si="0"/>
        <v>44512</v>
      </c>
      <c r="L8" s="98">
        <f t="shared" si="0"/>
        <v>44513</v>
      </c>
      <c r="M8" s="98">
        <f t="shared" si="0"/>
        <v>44514</v>
      </c>
      <c r="N8" s="99"/>
    </row>
    <row r="9" spans="1:18" ht="12.75" customHeight="1">
      <c r="A9" s="17"/>
      <c r="B9" s="18">
        <v>1</v>
      </c>
      <c r="C9" s="27" t="str">
        <f>LEFT(D9,2)</f>
        <v>CB</v>
      </c>
      <c r="D9" s="51" t="s">
        <v>268</v>
      </c>
      <c r="E9" s="20" t="e">
        <f>IF(D9="","",VLOOKUP(D9,'Bill Code Master - LCOE'!$G$12:$K$92,6,0))</f>
        <v>#N/A</v>
      </c>
      <c r="F9" s="114" t="str">
        <f>IF($D$5="","",VLOOKUP($D$5,'Employee Master'!$D$6:$G$12,4,0))</f>
        <v>TN</v>
      </c>
      <c r="G9" s="117">
        <v>2</v>
      </c>
      <c r="H9" s="117"/>
      <c r="I9" s="117"/>
      <c r="J9" s="117"/>
      <c r="K9" s="117"/>
      <c r="L9" s="118"/>
      <c r="M9" s="118"/>
      <c r="N9" s="119">
        <f t="shared" ref="N9:N30" si="1">SUM(G9:M9)</f>
        <v>2</v>
      </c>
    </row>
    <row r="10" spans="1:18" ht="12.75" customHeight="1">
      <c r="A10" s="17"/>
      <c r="B10" s="18">
        <f t="shared" ref="B10:B28" si="2">B9+1</f>
        <v>2</v>
      </c>
      <c r="C10" s="28" t="str">
        <f t="shared" ref="C10:C15" si="3">LEFT(D10,2)</f>
        <v>CB</v>
      </c>
      <c r="D10" s="52" t="s">
        <v>253</v>
      </c>
      <c r="E10" s="20" t="e">
        <f>IF(D10="","",VLOOKUP(D10,'Bill Code Master - LCOE'!$G$12:$K$92,6,0))</f>
        <v>#N/A</v>
      </c>
      <c r="F10" s="114" t="str">
        <f>IF($D$5="","",VLOOKUP($D$5,'Employee Master'!$D$6:$G$12,4,0))</f>
        <v>TN</v>
      </c>
      <c r="G10" s="120"/>
      <c r="H10" s="120"/>
      <c r="I10" s="120"/>
      <c r="J10" s="120"/>
      <c r="K10" s="120"/>
      <c r="L10" s="121"/>
      <c r="M10" s="121"/>
      <c r="N10" s="122">
        <f t="shared" si="1"/>
        <v>0</v>
      </c>
    </row>
    <row r="11" spans="1:18" ht="12.75" customHeight="1">
      <c r="A11" s="17"/>
      <c r="B11" s="18">
        <f t="shared" si="2"/>
        <v>3</v>
      </c>
      <c r="C11" s="28" t="str">
        <f t="shared" si="3"/>
        <v>LD</v>
      </c>
      <c r="D11" s="52" t="s">
        <v>273</v>
      </c>
      <c r="E11" s="20" t="e">
        <f>IF(D11="","",VLOOKUP(D11,'Bill Code Master - LCOE'!$G$12:$K$92,6,0))</f>
        <v>#N/A</v>
      </c>
      <c r="F11" s="114" t="str">
        <f>IF($D$5="","",VLOOKUP($D$5,'Employee Master'!$D$6:$G$12,4,0))</f>
        <v>TN</v>
      </c>
      <c r="G11" s="120">
        <v>2</v>
      </c>
      <c r="H11" s="120"/>
      <c r="I11" s="120"/>
      <c r="J11" s="120"/>
      <c r="K11" s="120"/>
      <c r="L11" s="121"/>
      <c r="M11" s="121"/>
      <c r="N11" s="122">
        <f t="shared" si="1"/>
        <v>2</v>
      </c>
    </row>
    <row r="12" spans="1:18" ht="12.75" customHeight="1">
      <c r="A12" s="17"/>
      <c r="B12" s="18">
        <f t="shared" si="2"/>
        <v>4</v>
      </c>
      <c r="C12" s="28" t="str">
        <f t="shared" si="3"/>
        <v>LD</v>
      </c>
      <c r="D12" s="52" t="s">
        <v>269</v>
      </c>
      <c r="E12" s="20" t="e">
        <f>IF(D12="","",VLOOKUP(D12,'Bill Code Master - LCOE'!$G$12:$K$92,6,0))</f>
        <v>#N/A</v>
      </c>
      <c r="F12" s="114" t="str">
        <f>IF($D$5="","",VLOOKUP($D$5,'Employee Master'!$D$6:$G$12,4,0))</f>
        <v>TN</v>
      </c>
      <c r="G12" s="120">
        <v>3</v>
      </c>
      <c r="H12" s="120"/>
      <c r="I12" s="120"/>
      <c r="J12" s="120"/>
      <c r="K12" s="120"/>
      <c r="L12" s="121"/>
      <c r="M12" s="121"/>
      <c r="N12" s="122">
        <f t="shared" si="1"/>
        <v>3</v>
      </c>
      <c r="Q12" s="21"/>
      <c r="R12" s="54"/>
    </row>
    <row r="13" spans="1:18" ht="12.75" customHeight="1">
      <c r="A13" s="17"/>
      <c r="B13" s="18">
        <f t="shared" si="2"/>
        <v>5</v>
      </c>
      <c r="C13" s="28" t="str">
        <f t="shared" si="3"/>
        <v>LD</v>
      </c>
      <c r="D13" s="115" t="s">
        <v>274</v>
      </c>
      <c r="E13" s="20" t="e">
        <f>IF(D13="","",VLOOKUP(D13,'Bill Code Master - LCOE'!$G$12:$K$92,6,0))</f>
        <v>#N/A</v>
      </c>
      <c r="F13" s="114" t="str">
        <f>IF($D$5="","",VLOOKUP($D$5,'Employee Master'!$D$6:$G$12,4,0))</f>
        <v>TN</v>
      </c>
      <c r="G13" s="120"/>
      <c r="H13" s="120"/>
      <c r="I13" s="120"/>
      <c r="J13" s="120"/>
      <c r="K13" s="120">
        <v>2</v>
      </c>
      <c r="L13" s="121"/>
      <c r="M13" s="121"/>
      <c r="N13" s="122">
        <f t="shared" si="1"/>
        <v>2</v>
      </c>
      <c r="R13" s="54"/>
    </row>
    <row r="14" spans="1:18" ht="12.75" customHeight="1">
      <c r="A14" s="17"/>
      <c r="B14" s="18">
        <f t="shared" si="2"/>
        <v>6</v>
      </c>
      <c r="C14" s="28" t="str">
        <f t="shared" si="3"/>
        <v>CB</v>
      </c>
      <c r="D14" s="115" t="s">
        <v>270</v>
      </c>
      <c r="E14" s="20" t="e">
        <f>IF(D14="","",VLOOKUP(D14,'Bill Code Master - LCOE'!$G$12:$K$92,6,0))</f>
        <v>#N/A</v>
      </c>
      <c r="F14" s="114" t="str">
        <f>IF($D$5="","",VLOOKUP($D$5,'Employee Master'!$D$6:$G$12,4,0))</f>
        <v>TN</v>
      </c>
      <c r="G14" s="120"/>
      <c r="H14" s="120">
        <v>1</v>
      </c>
      <c r="I14" s="120"/>
      <c r="J14" s="120"/>
      <c r="K14" s="120"/>
      <c r="L14" s="121"/>
      <c r="M14" s="121"/>
      <c r="N14" s="122">
        <f t="shared" si="1"/>
        <v>1</v>
      </c>
    </row>
    <row r="15" spans="1:18" ht="12.75" customHeight="1">
      <c r="A15" s="17"/>
      <c r="B15" s="18">
        <f t="shared" si="2"/>
        <v>7</v>
      </c>
      <c r="C15" s="28" t="str">
        <f t="shared" si="3"/>
        <v>BD</v>
      </c>
      <c r="D15" s="52" t="s">
        <v>271</v>
      </c>
      <c r="E15" s="20" t="e">
        <f>IF(D15="","",VLOOKUP(D15,'Bill Code Master - LCOE'!$G$12:$K$92,6,0))</f>
        <v>#N/A</v>
      </c>
      <c r="F15" s="114" t="str">
        <f>IF($D$5="","",VLOOKUP($D$5,'Employee Master'!$D$6:$G$12,4,0))</f>
        <v>TN</v>
      </c>
      <c r="G15" s="120"/>
      <c r="H15" s="120"/>
      <c r="I15" s="120"/>
      <c r="J15" s="120"/>
      <c r="K15" s="120"/>
      <c r="L15" s="121"/>
      <c r="M15" s="121"/>
      <c r="N15" s="122">
        <f t="shared" si="1"/>
        <v>0</v>
      </c>
    </row>
    <row r="16" spans="1:18" ht="12.75" customHeight="1">
      <c r="A16" s="17"/>
      <c r="B16" s="18">
        <f t="shared" si="2"/>
        <v>8</v>
      </c>
      <c r="C16" s="28"/>
      <c r="D16" s="52"/>
      <c r="E16" s="20" t="str">
        <f>IF(D16="","",VLOOKUP(D16,'Bill Code Master - LCOE'!$G$12:$K$92,6,0))</f>
        <v/>
      </c>
      <c r="F16" s="114" t="str">
        <f>IF($D$5="","",VLOOKUP($D$5,'Employee Master'!$D$6:$G$12,4,0))</f>
        <v>TN</v>
      </c>
      <c r="G16" s="120"/>
      <c r="H16" s="120"/>
      <c r="I16" s="120"/>
      <c r="J16" s="120"/>
      <c r="K16" s="120"/>
      <c r="L16" s="121"/>
      <c r="M16" s="121"/>
      <c r="N16" s="122">
        <f t="shared" si="1"/>
        <v>0</v>
      </c>
    </row>
    <row r="17" spans="1:14" ht="12.75" customHeight="1">
      <c r="A17" s="17"/>
      <c r="B17" s="18">
        <f t="shared" si="2"/>
        <v>9</v>
      </c>
      <c r="C17" s="19"/>
      <c r="D17" s="52"/>
      <c r="E17" s="20" t="str">
        <f>IF(D17="","",VLOOKUP(D17,'Bill Code Master - LCOE'!$G$12:$K$92,6,0))</f>
        <v/>
      </c>
      <c r="F17" s="114" t="str">
        <f>IF($D$5="","",VLOOKUP($D$5,'Employee Master'!$D$6:$G$12,4,0))</f>
        <v>TN</v>
      </c>
      <c r="G17" s="120"/>
      <c r="H17" s="120"/>
      <c r="I17" s="120"/>
      <c r="J17" s="120"/>
      <c r="K17" s="120"/>
      <c r="L17" s="121"/>
      <c r="M17" s="121"/>
      <c r="N17" s="122">
        <f t="shared" si="1"/>
        <v>0</v>
      </c>
    </row>
    <row r="18" spans="1:14" ht="12.75" customHeight="1">
      <c r="A18" s="17"/>
      <c r="B18" s="18">
        <f t="shared" si="2"/>
        <v>10</v>
      </c>
      <c r="C18" s="19"/>
      <c r="D18" s="52"/>
      <c r="E18" s="20" t="str">
        <f>IF(D18="","",VLOOKUP(D18,'Bill Code Master - LCOE'!$G$12:$K$92,6,0))</f>
        <v/>
      </c>
      <c r="F18" s="114" t="str">
        <f>IF($D$5="","",VLOOKUP($D$5,'Employee Master'!$D$6:$G$12,4,0))</f>
        <v>TN</v>
      </c>
      <c r="G18" s="120"/>
      <c r="H18" s="120"/>
      <c r="I18" s="120"/>
      <c r="J18" s="120"/>
      <c r="K18" s="120"/>
      <c r="L18" s="121"/>
      <c r="M18" s="121"/>
      <c r="N18" s="122">
        <f t="shared" si="1"/>
        <v>0</v>
      </c>
    </row>
    <row r="19" spans="1:14" ht="12.75" customHeight="1">
      <c r="A19" s="17"/>
      <c r="B19" s="18">
        <f t="shared" si="2"/>
        <v>11</v>
      </c>
      <c r="C19" s="19"/>
      <c r="D19" s="52"/>
      <c r="E19" s="20" t="str">
        <f>IF(D19="","",VLOOKUP(D19,'Bill Code Master - LCOE'!$G$12:$K$92,6,0))</f>
        <v/>
      </c>
      <c r="F19" s="114" t="str">
        <f>IF($D$5="","",VLOOKUP($D$5,'Employee Master'!$D$6:$G$12,4,0))</f>
        <v>TN</v>
      </c>
      <c r="G19" s="120"/>
      <c r="H19" s="120"/>
      <c r="I19" s="120"/>
      <c r="J19" s="120"/>
      <c r="K19" s="120"/>
      <c r="L19" s="121"/>
      <c r="M19" s="121"/>
      <c r="N19" s="122">
        <f t="shared" si="1"/>
        <v>0</v>
      </c>
    </row>
    <row r="20" spans="1:14" ht="12.75" customHeight="1">
      <c r="A20" s="17"/>
      <c r="B20" s="18">
        <f t="shared" si="2"/>
        <v>12</v>
      </c>
      <c r="C20" s="19"/>
      <c r="D20" s="52"/>
      <c r="E20" s="20" t="str">
        <f>IF(D20="","",VLOOKUP(D20,'Bill Code Master - LCOE'!$G$12:$K$92,6,0))</f>
        <v/>
      </c>
      <c r="F20" s="114" t="str">
        <f>IF($D$5="","",VLOOKUP($D$5,'Employee Master'!$D$6:$G$12,4,0))</f>
        <v>TN</v>
      </c>
      <c r="G20" s="120"/>
      <c r="H20" s="120"/>
      <c r="I20" s="120"/>
      <c r="J20" s="120"/>
      <c r="K20" s="120"/>
      <c r="L20" s="121"/>
      <c r="M20" s="121"/>
      <c r="N20" s="122">
        <f t="shared" si="1"/>
        <v>0</v>
      </c>
    </row>
    <row r="21" spans="1:14" ht="12.75" customHeight="1">
      <c r="A21" s="17"/>
      <c r="B21" s="18">
        <f t="shared" si="2"/>
        <v>13</v>
      </c>
      <c r="C21" s="19"/>
      <c r="D21" s="52"/>
      <c r="E21" s="20" t="str">
        <f>IF(D21="","",VLOOKUP(D21,'Bill Code Master - LCOE'!$G$12:$K$92,6,0))</f>
        <v/>
      </c>
      <c r="F21" s="114" t="str">
        <f>IF($D$5="","",VLOOKUP($D$5,'Employee Master'!$D$6:$G$12,4,0))</f>
        <v>TN</v>
      </c>
      <c r="G21" s="120"/>
      <c r="H21" s="120"/>
      <c r="I21" s="120"/>
      <c r="J21" s="120"/>
      <c r="K21" s="120"/>
      <c r="L21" s="121"/>
      <c r="M21" s="121"/>
      <c r="N21" s="122">
        <f t="shared" si="1"/>
        <v>0</v>
      </c>
    </row>
    <row r="22" spans="1:14" ht="12.75" customHeight="1">
      <c r="A22" s="17"/>
      <c r="B22" s="18">
        <f t="shared" si="2"/>
        <v>14</v>
      </c>
      <c r="C22" s="19"/>
      <c r="D22" s="52"/>
      <c r="E22" s="20" t="str">
        <f>IF(D22="","",VLOOKUP(D22,'Bill Code Master - LCOE'!$G$12:$K$92,6,0))</f>
        <v/>
      </c>
      <c r="F22" s="114" t="str">
        <f>IF($D$5="","",VLOOKUP($D$5,'Employee Master'!$D$6:$G$12,4,0))</f>
        <v>TN</v>
      </c>
      <c r="G22" s="120"/>
      <c r="H22" s="120"/>
      <c r="I22" s="120"/>
      <c r="J22" s="120"/>
      <c r="K22" s="120"/>
      <c r="L22" s="121"/>
      <c r="M22" s="121"/>
      <c r="N22" s="122">
        <f t="shared" si="1"/>
        <v>0</v>
      </c>
    </row>
    <row r="23" spans="1:14" ht="12.75" customHeight="1">
      <c r="A23" s="17"/>
      <c r="B23" s="18">
        <f t="shared" si="2"/>
        <v>15</v>
      </c>
      <c r="C23" s="19"/>
      <c r="D23" s="52"/>
      <c r="E23" s="20" t="str">
        <f>IF(D23="","",VLOOKUP(D23,'Bill Code Master - LCOE'!$G$12:$K$92,6,0))</f>
        <v/>
      </c>
      <c r="F23" s="114" t="str">
        <f>IF($D$5="","",VLOOKUP($D$5,'Employee Master'!$D$6:$G$12,4,0))</f>
        <v>TN</v>
      </c>
      <c r="G23" s="120"/>
      <c r="H23" s="120"/>
      <c r="I23" s="120"/>
      <c r="J23" s="120"/>
      <c r="K23" s="120"/>
      <c r="L23" s="121"/>
      <c r="M23" s="121"/>
      <c r="N23" s="122">
        <f t="shared" si="1"/>
        <v>0</v>
      </c>
    </row>
    <row r="24" spans="1:14" ht="12.75" customHeight="1">
      <c r="A24" s="17"/>
      <c r="B24" s="18">
        <f t="shared" si="2"/>
        <v>16</v>
      </c>
      <c r="C24" s="19"/>
      <c r="D24" s="52"/>
      <c r="E24" s="20" t="str">
        <f>IF(D24="","",VLOOKUP(D24,'Bill Code Master - LCOE'!$G$12:$K$92,6,0))</f>
        <v/>
      </c>
      <c r="F24" s="114" t="str">
        <f>IF($D$5="","",VLOOKUP($D$5,'Employee Master'!$D$6:$G$12,4,0))</f>
        <v>TN</v>
      </c>
      <c r="G24" s="120"/>
      <c r="H24" s="120"/>
      <c r="I24" s="120"/>
      <c r="J24" s="120"/>
      <c r="K24" s="120"/>
      <c r="L24" s="121"/>
      <c r="M24" s="121"/>
      <c r="N24" s="122">
        <f t="shared" si="1"/>
        <v>0</v>
      </c>
    </row>
    <row r="25" spans="1:14" ht="12.75" customHeight="1">
      <c r="A25" s="17"/>
      <c r="B25" s="18">
        <f t="shared" si="2"/>
        <v>17</v>
      </c>
      <c r="C25" s="19"/>
      <c r="D25" s="52"/>
      <c r="E25" s="20" t="str">
        <f>IF(D25="","",VLOOKUP(D25,'Bill Code Master - LCOE'!$G$12:$K$92,6,0))</f>
        <v/>
      </c>
      <c r="F25" s="114" t="str">
        <f>IF($D$5="","",VLOOKUP($D$5,'Employee Master'!$D$6:$G$12,4,0))</f>
        <v>TN</v>
      </c>
      <c r="G25" s="120"/>
      <c r="H25" s="120"/>
      <c r="I25" s="120"/>
      <c r="J25" s="120"/>
      <c r="K25" s="120"/>
      <c r="L25" s="121"/>
      <c r="M25" s="121"/>
      <c r="N25" s="122">
        <f t="shared" si="1"/>
        <v>0</v>
      </c>
    </row>
    <row r="26" spans="1:14" ht="12.75" customHeight="1">
      <c r="A26" s="17"/>
      <c r="B26" s="18">
        <f t="shared" si="2"/>
        <v>18</v>
      </c>
      <c r="C26" s="19"/>
      <c r="D26" s="52"/>
      <c r="E26" s="20" t="str">
        <f>IF(D26="","",VLOOKUP(D26,'Bill Code Master - LCOE'!$G$12:$K$92,6,0))</f>
        <v/>
      </c>
      <c r="F26" s="114" t="str">
        <f>IF($D$5="","",VLOOKUP($D$5,'Employee Master'!$D$6:$G$12,4,0))</f>
        <v>TN</v>
      </c>
      <c r="G26" s="120"/>
      <c r="H26" s="120"/>
      <c r="I26" s="120"/>
      <c r="J26" s="120"/>
      <c r="K26" s="120"/>
      <c r="L26" s="121"/>
      <c r="M26" s="121"/>
      <c r="N26" s="122">
        <f t="shared" si="1"/>
        <v>0</v>
      </c>
    </row>
    <row r="27" spans="1:14" ht="12.75" customHeight="1">
      <c r="A27" s="17"/>
      <c r="B27" s="18">
        <f t="shared" si="2"/>
        <v>19</v>
      </c>
      <c r="C27" s="19"/>
      <c r="D27" s="52"/>
      <c r="E27" s="20" t="str">
        <f>IF(D27="","",VLOOKUP(D27,'Bill Code Master - LCOE'!$G$12:$K$92,6,0))</f>
        <v/>
      </c>
      <c r="F27" s="114" t="str">
        <f>IF($D$5="","",VLOOKUP($D$5,'Employee Master'!$D$6:$G$12,4,0))</f>
        <v>TN</v>
      </c>
      <c r="G27" s="120"/>
      <c r="H27" s="120"/>
      <c r="I27" s="120"/>
      <c r="J27" s="120"/>
      <c r="K27" s="120"/>
      <c r="L27" s="121"/>
      <c r="M27" s="121"/>
      <c r="N27" s="122">
        <f t="shared" si="1"/>
        <v>0</v>
      </c>
    </row>
    <row r="28" spans="1:14" ht="12.75" customHeight="1" thickBot="1">
      <c r="A28" s="17"/>
      <c r="B28" s="18">
        <f t="shared" si="2"/>
        <v>20</v>
      </c>
      <c r="C28" s="128"/>
      <c r="D28" s="52"/>
      <c r="E28" s="20" t="str">
        <f>IF(D28="","",VLOOKUP(D28,'Bill Code Master - LCOE'!$G$12:$K$92,6,0))</f>
        <v/>
      </c>
      <c r="F28" s="114" t="str">
        <f>IF($D$5="","",VLOOKUP($D$5,'Employee Master'!$D$6:$G$12,4,0))</f>
        <v>TN</v>
      </c>
      <c r="G28" s="120"/>
      <c r="H28" s="120"/>
      <c r="I28" s="120"/>
      <c r="J28" s="120"/>
      <c r="K28" s="120"/>
      <c r="L28" s="121"/>
      <c r="M28" s="121"/>
      <c r="N28" s="122">
        <f t="shared" si="1"/>
        <v>0</v>
      </c>
    </row>
    <row r="29" spans="1:14" ht="12.75" customHeight="1">
      <c r="C29" s="210" t="s">
        <v>224</v>
      </c>
      <c r="D29" s="211"/>
      <c r="E29" s="55" t="str">
        <f>'Bill Code Master - LCOE'!K91</f>
        <v>COE-002-PTO</v>
      </c>
      <c r="F29" s="22" t="str">
        <f>IF($D$5="","",(VLOOKUP(D5,'Employee Master'!$D$6:$G$12,4,0)))</f>
        <v>TN</v>
      </c>
      <c r="G29" s="117"/>
      <c r="H29" s="117"/>
      <c r="I29" s="117"/>
      <c r="J29" s="117"/>
      <c r="K29" s="117"/>
      <c r="L29" s="118"/>
      <c r="M29" s="118"/>
      <c r="N29" s="119">
        <f t="shared" si="1"/>
        <v>0</v>
      </c>
    </row>
    <row r="30" spans="1:14" ht="12.75" customHeight="1" thickBot="1">
      <c r="C30" s="212" t="s">
        <v>225</v>
      </c>
      <c r="D30" s="213"/>
      <c r="E30" s="56" t="str">
        <f>'Bill Code Master - LCOE'!K88</f>
        <v>COE-013-LD</v>
      </c>
      <c r="F30" s="23" t="str">
        <f>IF($D$5="","",(VLOOKUP($D$5,'Employee Master'!$D$6:$G$12,4,0)))</f>
        <v>TN</v>
      </c>
      <c r="G30" s="123"/>
      <c r="H30" s="123"/>
      <c r="I30" s="123"/>
      <c r="J30" s="123"/>
      <c r="K30" s="123"/>
      <c r="L30" s="124"/>
      <c r="M30" s="124"/>
      <c r="N30" s="125">
        <f t="shared" si="1"/>
        <v>0</v>
      </c>
    </row>
    <row r="31" spans="1:14" ht="12.75" customHeight="1" thickBot="1">
      <c r="C31" s="214" t="s">
        <v>8</v>
      </c>
      <c r="D31" s="215"/>
      <c r="E31" s="24"/>
      <c r="F31" s="24"/>
      <c r="G31" s="126">
        <f t="shared" ref="G31:N31" si="4">SUM(G9:G30)</f>
        <v>7</v>
      </c>
      <c r="H31" s="126">
        <f t="shared" si="4"/>
        <v>1</v>
      </c>
      <c r="I31" s="126">
        <f t="shared" si="4"/>
        <v>0</v>
      </c>
      <c r="J31" s="126">
        <f t="shared" si="4"/>
        <v>0</v>
      </c>
      <c r="K31" s="126">
        <f t="shared" si="4"/>
        <v>2</v>
      </c>
      <c r="L31" s="126">
        <f t="shared" si="4"/>
        <v>0</v>
      </c>
      <c r="M31" s="126">
        <f t="shared" si="4"/>
        <v>0</v>
      </c>
      <c r="N31" s="127">
        <f t="shared" si="4"/>
        <v>10</v>
      </c>
    </row>
    <row r="33" spans="3:3">
      <c r="C33" s="25" t="s">
        <v>226</v>
      </c>
    </row>
  </sheetData>
  <sheetProtection formatCells="0" formatColumns="0" formatRows="0" selectLockedCells="1"/>
  <mergeCells count="9">
    <mergeCell ref="C29:D29"/>
    <mergeCell ref="C30:D30"/>
    <mergeCell ref="C31:D31"/>
    <mergeCell ref="F2:G2"/>
    <mergeCell ref="O2:P5"/>
    <mergeCell ref="C7:C8"/>
    <mergeCell ref="D7:D8"/>
    <mergeCell ref="E7:E8"/>
    <mergeCell ref="F7:F8"/>
  </mergeCells>
  <dataValidations count="1">
    <dataValidation type="decimal" allowBlank="1" showInputMessage="1" showErrorMessage="1" errorTitle="Hours Exceeds Limit" error="Your Hours have Exceeded the Daily Limit of 8!" promptTitle="Input Daily Hours" prompt="Input Hours - Not to Exceed 8 Hours Per Day" sqref="L29:M30" xr:uid="{27DB5D79-3DAC-40F8-BEE7-35EB2D4046D4}">
      <formula1>0</formula1>
      <formula2>8</formula2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il_Workbook_1">
                <anchor moveWithCells="1" sizeWithCells="1">
                  <from>
                    <xdr:col>10</xdr:col>
                    <xdr:colOff>406400</xdr:colOff>
                    <xdr:row>1</xdr:row>
                    <xdr:rowOff>0</xdr:rowOff>
                  </from>
                  <to>
                    <xdr:col>12</xdr:col>
                    <xdr:colOff>457200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Week Start" prompt="Select The Week Based on Starting Date of Monday" xr:uid="{D48B83C8-BEB3-4079-B45D-DDF6700C888C}">
          <x14:formula1>
            <xm:f>'Week Number Master'!$B$4:$B$68</xm:f>
          </x14:formula1>
          <xm:sqref>E5</xm:sqref>
        </x14:dataValidation>
        <x14:dataValidation type="list" allowBlank="1" showInputMessage="1" showErrorMessage="1" promptTitle="Employee Name" prompt="Select Name" xr:uid="{9F5733D7-6CA7-497B-BC0A-6E98F6299CB2}">
          <x14:formula1>
            <xm:f>'Employee Master'!$D$6:$D$12</xm:f>
          </x14:formula1>
          <xm:sqref>D5</xm:sqref>
        </x14:dataValidation>
        <x14:dataValidation type="list" allowBlank="1" showInputMessage="1" showErrorMessage="1" prompt="Select Project Category - Client Name (if applicable) - Project" xr:uid="{7E16F83D-9306-4457-92E1-5046934B04B7}">
          <x14:formula1>
            <xm:f>'Bill Code Master - LCOE'!$G$12:$G$83</xm:f>
          </x14:formula1>
          <xm:sqref>D9:D28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R35"/>
  <sheetViews>
    <sheetView showGridLines="0" tabSelected="1" zoomScaleNormal="100" workbookViewId="0">
      <selection activeCell="M12" sqref="M12"/>
    </sheetView>
  </sheetViews>
  <sheetFormatPr defaultColWidth="9.33203125" defaultRowHeight="13"/>
  <cols>
    <col min="1" max="1" width="1.33203125" style="12" customWidth="1"/>
    <col min="2" max="2" width="2.6640625" style="12" bestFit="1" customWidth="1"/>
    <col min="3" max="3" width="9.109375" style="12" customWidth="1"/>
    <col min="4" max="4" width="68.44140625" style="12" bestFit="1" customWidth="1"/>
    <col min="5" max="5" width="18.109375" style="12" customWidth="1"/>
    <col min="6" max="6" width="18" style="12" customWidth="1"/>
    <col min="7" max="7" width="9.33203125" style="12" bestFit="1" customWidth="1"/>
    <col min="8" max="8" width="10.44140625" style="12" customWidth="1"/>
    <col min="9" max="9" width="12" style="12" customWidth="1"/>
    <col min="10" max="10" width="12.109375" style="12" customWidth="1"/>
    <col min="11" max="13" width="8.88671875" style="12" customWidth="1"/>
    <col min="14" max="14" width="14.33203125" style="12" bestFit="1" customWidth="1"/>
    <col min="15" max="16384" width="9.33203125" style="12"/>
  </cols>
  <sheetData>
    <row r="2" spans="1:18" ht="13.5" thickBot="1">
      <c r="H2" s="230" t="s">
        <v>18</v>
      </c>
      <c r="I2" s="231"/>
      <c r="J2" s="231"/>
    </row>
    <row r="3" spans="1:18">
      <c r="H3" s="31" t="s">
        <v>13</v>
      </c>
      <c r="I3" s="224" t="s">
        <v>290</v>
      </c>
      <c r="J3" s="225"/>
    </row>
    <row r="4" spans="1:18">
      <c r="F4" s="216"/>
      <c r="G4" s="216"/>
      <c r="H4" s="33" t="s">
        <v>178</v>
      </c>
      <c r="I4" s="226" t="s">
        <v>291</v>
      </c>
      <c r="J4" s="227"/>
      <c r="O4" s="217" t="str">
        <f>IF(N33&lt;40,"You have submitted less than 40 hours, please review!","")</f>
        <v/>
      </c>
      <c r="P4" s="217"/>
    </row>
    <row r="5" spans="1:18" ht="14.5" customHeight="1" thickBot="1">
      <c r="H5" s="33" t="s">
        <v>283</v>
      </c>
      <c r="I5" s="228" t="s">
        <v>292</v>
      </c>
      <c r="J5" s="229"/>
      <c r="O5" s="217"/>
      <c r="P5" s="217"/>
      <c r="R5" s="54"/>
    </row>
    <row r="6" spans="1:18" ht="12.75" customHeight="1">
      <c r="D6" s="100" t="s">
        <v>47</v>
      </c>
      <c r="E6" s="101" t="s">
        <v>37</v>
      </c>
      <c r="F6" s="97" t="s">
        <v>48</v>
      </c>
      <c r="G6" s="13"/>
      <c r="H6" s="33" t="s">
        <v>83</v>
      </c>
      <c r="I6" s="228" t="s">
        <v>293</v>
      </c>
      <c r="J6" s="229"/>
      <c r="O6" s="217"/>
      <c r="P6" s="217"/>
    </row>
    <row r="7" spans="1:18" ht="14.25" customHeight="1" thickBot="1">
      <c r="D7" s="26" t="s">
        <v>522</v>
      </c>
      <c r="E7" s="29">
        <v>44793</v>
      </c>
      <c r="F7" s="14">
        <f>IF(E7="","",(VLOOKUP(E7,'Week Number Master'!$B$4:$C$67,2,0)))</f>
        <v>35</v>
      </c>
      <c r="G7" s="15">
        <f ca="1">YEAR(TODAY())</f>
        <v>2022</v>
      </c>
      <c r="H7" s="35" t="s">
        <v>179</v>
      </c>
      <c r="I7" s="222" t="s">
        <v>294</v>
      </c>
      <c r="J7" s="223"/>
      <c r="O7" s="217"/>
      <c r="P7" s="217"/>
    </row>
    <row r="8" spans="1:18" ht="12.75" customHeight="1" thickBot="1">
      <c r="F8" s="16"/>
      <c r="G8" s="16"/>
      <c r="H8" s="16"/>
      <c r="I8" s="16"/>
      <c r="J8" s="16"/>
      <c r="K8" s="16"/>
      <c r="L8" s="16"/>
    </row>
    <row r="9" spans="1:18">
      <c r="C9" s="218" t="s">
        <v>46</v>
      </c>
      <c r="D9" s="220" t="s">
        <v>254</v>
      </c>
      <c r="E9" s="220" t="s">
        <v>12</v>
      </c>
      <c r="F9" s="220" t="s">
        <v>275</v>
      </c>
      <c r="G9" s="96" t="str">
        <f>TEXT(G10,"ddd")</f>
        <v>Sat</v>
      </c>
      <c r="H9" s="96" t="str">
        <f t="shared" ref="H9:M9" si="0">TEXT(H10,"ddd")</f>
        <v>Sun</v>
      </c>
      <c r="I9" s="96" t="str">
        <f t="shared" si="0"/>
        <v>Mon</v>
      </c>
      <c r="J9" s="96" t="str">
        <f t="shared" si="0"/>
        <v>Tue</v>
      </c>
      <c r="K9" s="96" t="str">
        <f t="shared" si="0"/>
        <v>Wed</v>
      </c>
      <c r="L9" s="96" t="str">
        <f t="shared" si="0"/>
        <v>Thu</v>
      </c>
      <c r="M9" s="96" t="str">
        <f t="shared" si="0"/>
        <v>Fri</v>
      </c>
      <c r="N9" s="97" t="s">
        <v>272</v>
      </c>
      <c r="Q9" s="5"/>
    </row>
    <row r="10" spans="1:18" ht="13.5" thickBot="1">
      <c r="C10" s="219"/>
      <c r="D10" s="221"/>
      <c r="E10" s="221"/>
      <c r="F10" s="221"/>
      <c r="G10" s="98">
        <f>IF($F$7="","",$E$7)</f>
        <v>44793</v>
      </c>
      <c r="H10" s="98">
        <f>IF($E$7="","",(G10+1))</f>
        <v>44794</v>
      </c>
      <c r="I10" s="98">
        <f t="shared" ref="I10:M10" si="1">IF($E$7="","",(H10+1))</f>
        <v>44795</v>
      </c>
      <c r="J10" s="98">
        <f t="shared" si="1"/>
        <v>44796</v>
      </c>
      <c r="K10" s="98">
        <f t="shared" si="1"/>
        <v>44797</v>
      </c>
      <c r="L10" s="98">
        <f t="shared" si="1"/>
        <v>44798</v>
      </c>
      <c r="M10" s="98">
        <f t="shared" si="1"/>
        <v>44799</v>
      </c>
      <c r="N10" s="99"/>
    </row>
    <row r="11" spans="1:18" ht="12.75" customHeight="1">
      <c r="A11" s="17"/>
      <c r="B11" s="18"/>
      <c r="C11" s="192" t="s">
        <v>179</v>
      </c>
      <c r="D11" s="193" t="s">
        <v>496</v>
      </c>
      <c r="E11" s="20" t="str">
        <f>IF(D11="","",VLOOKUP(D11,'Bill Code Master - LCOE'!$G$12:$K$90,5,0))</f>
        <v>COE-017-LD</v>
      </c>
      <c r="F11" s="195" t="s">
        <v>550</v>
      </c>
      <c r="G11" s="208"/>
      <c r="H11" s="209"/>
      <c r="I11" s="200">
        <v>2</v>
      </c>
      <c r="J11" s="200"/>
      <c r="K11" s="200">
        <v>2</v>
      </c>
      <c r="L11" s="199">
        <v>2</v>
      </c>
      <c r="M11" s="199">
        <v>3</v>
      </c>
      <c r="N11" s="119">
        <f t="shared" ref="N11:N32" si="2">SUM(G11:M11)</f>
        <v>9</v>
      </c>
    </row>
    <row r="12" spans="1:18" ht="12.75" customHeight="1">
      <c r="A12" s="17"/>
      <c r="B12" s="18"/>
      <c r="C12" s="192" t="s">
        <v>178</v>
      </c>
      <c r="D12" s="194" t="s">
        <v>508</v>
      </c>
      <c r="E12" s="20" t="str">
        <f>IF(D12="","",VLOOKUP(D12,'Bill Code Master - LCOE'!$G$12:$K$90,5,0))</f>
        <v>USL-001-CB</v>
      </c>
      <c r="F12" s="196"/>
      <c r="G12" s="208"/>
      <c r="H12" s="208"/>
      <c r="I12" s="199">
        <v>4</v>
      </c>
      <c r="J12" s="199">
        <v>6</v>
      </c>
      <c r="K12" s="199">
        <v>6</v>
      </c>
      <c r="L12" s="199">
        <v>6</v>
      </c>
      <c r="M12" s="199">
        <v>4</v>
      </c>
      <c r="N12" s="122">
        <f t="shared" si="2"/>
        <v>26</v>
      </c>
    </row>
    <row r="13" spans="1:18" ht="12.75" customHeight="1">
      <c r="A13" s="17"/>
      <c r="B13" s="18"/>
      <c r="C13" s="192" t="s">
        <v>178</v>
      </c>
      <c r="D13" s="193" t="s">
        <v>509</v>
      </c>
      <c r="E13" s="20" t="str">
        <f>IF(D13="","",VLOOKUP(D13,'Bill Code Master - LCOE'!$G$12:$K$90,5,0))</f>
        <v>USL-002-CB</v>
      </c>
      <c r="F13" s="195"/>
      <c r="G13" s="208"/>
      <c r="H13" s="208"/>
      <c r="I13" s="199">
        <v>2</v>
      </c>
      <c r="J13" s="199">
        <v>2</v>
      </c>
      <c r="K13" s="199"/>
      <c r="L13" s="199"/>
      <c r="M13" s="199">
        <v>1</v>
      </c>
      <c r="N13" s="122">
        <f t="shared" si="2"/>
        <v>5</v>
      </c>
    </row>
    <row r="14" spans="1:18" ht="12.75" customHeight="1">
      <c r="A14" s="17"/>
      <c r="B14" s="18"/>
      <c r="C14" s="192" t="s">
        <v>178</v>
      </c>
      <c r="D14" s="193"/>
      <c r="E14" s="20" t="str">
        <f>IF(D14="","",VLOOKUP(D14,'Bill Code Master - LCOE'!$G$12:$K$90,5,0))</f>
        <v/>
      </c>
      <c r="F14" s="195"/>
      <c r="G14" s="208"/>
      <c r="H14" s="208"/>
      <c r="I14" s="199"/>
      <c r="J14" s="199"/>
      <c r="K14" s="199"/>
      <c r="L14" s="199"/>
      <c r="M14" s="199"/>
      <c r="N14" s="122">
        <f t="shared" si="2"/>
        <v>0</v>
      </c>
      <c r="Q14" s="21"/>
      <c r="R14" s="54"/>
    </row>
    <row r="15" spans="1:18" ht="12.75" customHeight="1">
      <c r="A15" s="17"/>
      <c r="B15" s="18"/>
      <c r="C15" s="192"/>
      <c r="D15" s="193"/>
      <c r="E15" s="20" t="str">
        <f>IF(D15="","",VLOOKUP(D15,'Bill Code Master - LCOE'!$G$12:$K$90,5,0))</f>
        <v/>
      </c>
      <c r="F15" s="195"/>
      <c r="G15" s="208"/>
      <c r="H15" s="208"/>
      <c r="I15" s="199"/>
      <c r="J15" s="199"/>
      <c r="K15" s="199"/>
      <c r="L15" s="199"/>
      <c r="M15" s="199"/>
      <c r="N15" s="122">
        <f t="shared" si="2"/>
        <v>0</v>
      </c>
      <c r="R15" s="54"/>
    </row>
    <row r="16" spans="1:18" ht="12.75" customHeight="1">
      <c r="A16" s="17"/>
      <c r="B16" s="18">
        <f t="shared" ref="B16:B30" si="3">B15+1</f>
        <v>1</v>
      </c>
      <c r="C16" s="192"/>
      <c r="D16" s="193"/>
      <c r="E16" s="20" t="str">
        <f>IF(D16="","",VLOOKUP(D16,'Bill Code Master - LCOE'!$G$12:$K$90,5,0))</f>
        <v/>
      </c>
      <c r="F16" s="195"/>
      <c r="G16" s="208"/>
      <c r="H16" s="208"/>
      <c r="I16" s="199"/>
      <c r="J16" s="199"/>
      <c r="K16" s="199"/>
      <c r="L16" s="199"/>
      <c r="M16" s="199"/>
      <c r="N16" s="122">
        <f t="shared" si="2"/>
        <v>0</v>
      </c>
    </row>
    <row r="17" spans="1:14" ht="12.75" customHeight="1">
      <c r="A17" s="17"/>
      <c r="B17" s="18">
        <f t="shared" si="3"/>
        <v>2</v>
      </c>
      <c r="C17" s="192"/>
      <c r="D17" s="193"/>
      <c r="E17" s="20" t="str">
        <f>IF(D17="","",VLOOKUP(D17,'Bill Code Master - LCOE'!$G$12:$K$90,5,0))</f>
        <v/>
      </c>
      <c r="F17" s="195"/>
      <c r="G17" s="208"/>
      <c r="H17" s="208"/>
      <c r="I17" s="199"/>
      <c r="J17" s="199"/>
      <c r="K17" s="199"/>
      <c r="L17" s="199"/>
      <c r="M17" s="199"/>
      <c r="N17" s="122">
        <f t="shared" si="2"/>
        <v>0</v>
      </c>
    </row>
    <row r="18" spans="1:14" ht="12.75" customHeight="1">
      <c r="A18" s="17"/>
      <c r="B18" s="18">
        <f t="shared" si="3"/>
        <v>3</v>
      </c>
      <c r="C18" s="28"/>
      <c r="D18" s="52"/>
      <c r="E18" s="20" t="str">
        <f>IF(D18="","",VLOOKUP(D18,'Bill Code Master - LCOE'!$G$12:$K$90,5,0))</f>
        <v/>
      </c>
      <c r="F18" s="195"/>
      <c r="G18" s="208"/>
      <c r="H18" s="208"/>
      <c r="I18" s="199"/>
      <c r="J18" s="199"/>
      <c r="K18" s="199"/>
      <c r="L18" s="199"/>
      <c r="M18" s="199"/>
      <c r="N18" s="122">
        <f t="shared" si="2"/>
        <v>0</v>
      </c>
    </row>
    <row r="19" spans="1:14" ht="12.75" customHeight="1">
      <c r="A19" s="17"/>
      <c r="B19" s="18">
        <f t="shared" si="3"/>
        <v>4</v>
      </c>
      <c r="C19" s="28"/>
      <c r="D19" s="52"/>
      <c r="E19" s="20" t="str">
        <f>IF(D19="","",VLOOKUP(D19,'Bill Code Master - LCOE'!$G$12:$K$90,5,0))</f>
        <v/>
      </c>
      <c r="F19" s="195"/>
      <c r="G19" s="208"/>
      <c r="H19" s="208"/>
      <c r="I19" s="199"/>
      <c r="J19" s="199"/>
      <c r="K19" s="199"/>
      <c r="L19" s="199"/>
      <c r="M19" s="199"/>
      <c r="N19" s="122">
        <f t="shared" si="2"/>
        <v>0</v>
      </c>
    </row>
    <row r="20" spans="1:14" ht="12.75" customHeight="1">
      <c r="A20" s="17"/>
      <c r="B20" s="18">
        <f t="shared" si="3"/>
        <v>5</v>
      </c>
      <c r="C20" s="28"/>
      <c r="D20" s="52"/>
      <c r="E20" s="20" t="str">
        <f>IF(D20="","",VLOOKUP(D20,'Bill Code Master - LCOE'!$G$12:$K$90,5,0))</f>
        <v/>
      </c>
      <c r="F20" s="195"/>
      <c r="G20" s="208"/>
      <c r="H20" s="208"/>
      <c r="I20" s="199"/>
      <c r="J20" s="199"/>
      <c r="K20" s="199"/>
      <c r="L20" s="199"/>
      <c r="M20" s="199"/>
      <c r="N20" s="122">
        <f t="shared" si="2"/>
        <v>0</v>
      </c>
    </row>
    <row r="21" spans="1:14" ht="12.75" customHeight="1">
      <c r="A21" s="17"/>
      <c r="B21" s="18">
        <f t="shared" si="3"/>
        <v>6</v>
      </c>
      <c r="C21" s="28"/>
      <c r="D21" s="52"/>
      <c r="E21" s="20" t="str">
        <f>IF(D21="","",VLOOKUP(D21,'Bill Code Master - LCOE'!$G$12:$K$90,5,0))</f>
        <v/>
      </c>
      <c r="F21" s="195"/>
      <c r="G21" s="208"/>
      <c r="H21" s="208"/>
      <c r="I21" s="199"/>
      <c r="J21" s="199"/>
      <c r="K21" s="199"/>
      <c r="L21" s="199"/>
      <c r="M21" s="199"/>
      <c r="N21" s="122">
        <f t="shared" si="2"/>
        <v>0</v>
      </c>
    </row>
    <row r="22" spans="1:14" ht="12.75" customHeight="1">
      <c r="A22" s="17"/>
      <c r="B22" s="18">
        <f t="shared" si="3"/>
        <v>7</v>
      </c>
      <c r="C22" s="28"/>
      <c r="D22" s="52"/>
      <c r="E22" s="20" t="str">
        <f>IF(D22="","",VLOOKUP(D22,'Bill Code Master - LCOE'!$G$12:$K$90,5,0))</f>
        <v/>
      </c>
      <c r="F22" s="196"/>
      <c r="G22" s="208"/>
      <c r="H22" s="208"/>
      <c r="I22" s="199"/>
      <c r="J22" s="199"/>
      <c r="K22" s="199"/>
      <c r="L22" s="199"/>
      <c r="M22" s="199"/>
      <c r="N22" s="122">
        <f t="shared" si="2"/>
        <v>0</v>
      </c>
    </row>
    <row r="23" spans="1:14" ht="12.75" customHeight="1">
      <c r="A23" s="17"/>
      <c r="B23" s="18">
        <f t="shared" si="3"/>
        <v>8</v>
      </c>
      <c r="C23" s="28"/>
      <c r="D23" s="52"/>
      <c r="E23" s="20" t="str">
        <f>IF(D23="","",VLOOKUP(D23,'Bill Code Master - LCOE'!$G$12:$K$90,5,0))</f>
        <v/>
      </c>
      <c r="F23" s="196"/>
      <c r="G23" s="208"/>
      <c r="H23" s="208"/>
      <c r="I23" s="199"/>
      <c r="J23" s="199"/>
      <c r="K23" s="199"/>
      <c r="L23" s="199"/>
      <c r="M23" s="199"/>
      <c r="N23" s="122">
        <f t="shared" si="2"/>
        <v>0</v>
      </c>
    </row>
    <row r="24" spans="1:14" ht="12.75" customHeight="1">
      <c r="A24" s="17"/>
      <c r="B24" s="18">
        <f t="shared" si="3"/>
        <v>9</v>
      </c>
      <c r="C24" s="28"/>
      <c r="D24" s="52"/>
      <c r="E24" s="20" t="str">
        <f>IF(D24="","",VLOOKUP(D24,'Bill Code Master - LCOE'!$G$12:$K$90,5,0))</f>
        <v/>
      </c>
      <c r="F24" s="196"/>
      <c r="G24" s="208"/>
      <c r="H24" s="208"/>
      <c r="I24" s="199"/>
      <c r="J24" s="199"/>
      <c r="K24" s="199"/>
      <c r="L24" s="199"/>
      <c r="M24" s="199"/>
      <c r="N24" s="122">
        <f t="shared" si="2"/>
        <v>0</v>
      </c>
    </row>
    <row r="25" spans="1:14" ht="12.75" customHeight="1">
      <c r="A25" s="17"/>
      <c r="B25" s="18">
        <f t="shared" si="3"/>
        <v>10</v>
      </c>
      <c r="C25" s="28"/>
      <c r="D25" s="52"/>
      <c r="E25" s="20" t="str">
        <f>IF(D25="","",VLOOKUP(D25,'Bill Code Master - LCOE'!$G$12:$K$90,5,0))</f>
        <v/>
      </c>
      <c r="F25" s="196"/>
      <c r="G25" s="208"/>
      <c r="H25" s="208"/>
      <c r="I25" s="199"/>
      <c r="J25" s="199"/>
      <c r="K25" s="199"/>
      <c r="L25" s="199"/>
      <c r="M25" s="199"/>
      <c r="N25" s="122">
        <f t="shared" si="2"/>
        <v>0</v>
      </c>
    </row>
    <row r="26" spans="1:14" ht="12.75" customHeight="1">
      <c r="A26" s="17"/>
      <c r="B26" s="18">
        <f t="shared" si="3"/>
        <v>11</v>
      </c>
      <c r="C26" s="28"/>
      <c r="D26" s="52"/>
      <c r="E26" s="20" t="str">
        <f>IF(D26="","",VLOOKUP(D26,'Bill Code Master - LCOE'!$G$12:$K$90,5,0))</f>
        <v/>
      </c>
      <c r="F26" s="196"/>
      <c r="G26" s="208"/>
      <c r="H26" s="208"/>
      <c r="I26" s="199"/>
      <c r="J26" s="199"/>
      <c r="K26" s="199"/>
      <c r="L26" s="199"/>
      <c r="M26" s="199"/>
      <c r="N26" s="122">
        <f t="shared" si="2"/>
        <v>0</v>
      </c>
    </row>
    <row r="27" spans="1:14" ht="12.75" customHeight="1">
      <c r="A27" s="17"/>
      <c r="B27" s="18">
        <f t="shared" si="3"/>
        <v>12</v>
      </c>
      <c r="C27" s="28"/>
      <c r="D27" s="52"/>
      <c r="E27" s="20" t="str">
        <f>IF(D27="","",VLOOKUP(D27,'Bill Code Master - LCOE'!$G$12:$K$90,5,0))</f>
        <v/>
      </c>
      <c r="F27" s="196"/>
      <c r="G27" s="208"/>
      <c r="H27" s="208"/>
      <c r="I27" s="199"/>
      <c r="J27" s="199"/>
      <c r="K27" s="199"/>
      <c r="L27" s="199"/>
      <c r="M27" s="199"/>
      <c r="N27" s="122">
        <f t="shared" si="2"/>
        <v>0</v>
      </c>
    </row>
    <row r="28" spans="1:14" ht="12.75" customHeight="1">
      <c r="A28" s="17"/>
      <c r="B28" s="18">
        <f t="shared" si="3"/>
        <v>13</v>
      </c>
      <c r="C28" s="28"/>
      <c r="D28" s="52"/>
      <c r="E28" s="20" t="str">
        <f>IF(D28="","",VLOOKUP(D28,'Bill Code Master - LCOE'!$G$12:$K$90,5,0))</f>
        <v/>
      </c>
      <c r="F28" s="196"/>
      <c r="G28" s="208"/>
      <c r="H28" s="208"/>
      <c r="I28" s="199"/>
      <c r="J28" s="199"/>
      <c r="K28" s="199"/>
      <c r="L28" s="199"/>
      <c r="M28" s="199"/>
      <c r="N28" s="122">
        <f t="shared" si="2"/>
        <v>0</v>
      </c>
    </row>
    <row r="29" spans="1:14" ht="12.75" customHeight="1">
      <c r="A29" s="17"/>
      <c r="B29" s="18">
        <f t="shared" si="3"/>
        <v>14</v>
      </c>
      <c r="C29" s="28"/>
      <c r="D29" s="52"/>
      <c r="E29" s="20" t="str">
        <f>IF(D29="","",VLOOKUP(D29,'Bill Code Master - LCOE'!$G$12:$K$90,5,0))</f>
        <v/>
      </c>
      <c r="F29" s="196"/>
      <c r="G29" s="208"/>
      <c r="H29" s="208"/>
      <c r="I29" s="199"/>
      <c r="J29" s="199"/>
      <c r="K29" s="199"/>
      <c r="L29" s="199"/>
      <c r="M29" s="199"/>
      <c r="N29" s="122">
        <f t="shared" si="2"/>
        <v>0</v>
      </c>
    </row>
    <row r="30" spans="1:14" ht="12.75" customHeight="1" thickBot="1">
      <c r="A30" s="17"/>
      <c r="B30" s="18">
        <f t="shared" si="3"/>
        <v>15</v>
      </c>
      <c r="C30" s="28"/>
      <c r="D30" s="52"/>
      <c r="E30" s="20" t="str">
        <f>IF(D30="","",VLOOKUP(D30,'Bill Code Master - LCOE'!$G$12:$K$90,5,0))</f>
        <v/>
      </c>
      <c r="F30" s="196"/>
      <c r="G30" s="208"/>
      <c r="H30" s="208"/>
      <c r="I30" s="199"/>
      <c r="J30" s="199"/>
      <c r="K30" s="199"/>
      <c r="L30" s="202"/>
      <c r="M30" s="202"/>
      <c r="N30" s="122">
        <f t="shared" si="2"/>
        <v>0</v>
      </c>
    </row>
    <row r="31" spans="1:14" ht="12.75" customHeight="1">
      <c r="C31" s="210" t="s">
        <v>224</v>
      </c>
      <c r="D31" s="211"/>
      <c r="E31" s="55" t="str">
        <f>'Bill Code Master - LCOE'!K92</f>
        <v>COE-001-PTO</v>
      </c>
      <c r="F31" s="197"/>
      <c r="G31" s="209"/>
      <c r="H31" s="209"/>
      <c r="I31" s="200"/>
      <c r="J31" s="200"/>
      <c r="K31" s="200"/>
      <c r="L31" s="205"/>
      <c r="M31" s="200"/>
      <c r="N31" s="203">
        <f t="shared" si="2"/>
        <v>0</v>
      </c>
    </row>
    <row r="32" spans="1:14" ht="12.75" customHeight="1" thickBot="1">
      <c r="C32" s="212" t="s">
        <v>225</v>
      </c>
      <c r="D32" s="213"/>
      <c r="E32" s="56" t="str">
        <f>'Bill Code Master - LCOE'!K91</f>
        <v>COE-002-PTO</v>
      </c>
      <c r="F32" s="180"/>
      <c r="G32" s="124"/>
      <c r="H32" s="124"/>
      <c r="I32" s="123"/>
      <c r="J32" s="123"/>
      <c r="K32" s="123"/>
      <c r="L32" s="206"/>
      <c r="M32" s="207"/>
      <c r="N32" s="204">
        <f t="shared" si="2"/>
        <v>0</v>
      </c>
    </row>
    <row r="33" spans="3:14" ht="12.75" customHeight="1" thickBot="1">
      <c r="C33" s="214" t="s">
        <v>8</v>
      </c>
      <c r="D33" s="215"/>
      <c r="E33" s="24"/>
      <c r="F33" s="24"/>
      <c r="G33" s="126">
        <f t="shared" ref="G33:N33" si="4">SUM(G11:G32)</f>
        <v>0</v>
      </c>
      <c r="H33" s="126">
        <f t="shared" si="4"/>
        <v>0</v>
      </c>
      <c r="I33" s="126">
        <f>SUM(I11:I32)</f>
        <v>8</v>
      </c>
      <c r="J33" s="126">
        <f t="shared" si="4"/>
        <v>8</v>
      </c>
      <c r="K33" s="126">
        <f t="shared" si="4"/>
        <v>8</v>
      </c>
      <c r="L33" s="126">
        <f t="shared" si="4"/>
        <v>8</v>
      </c>
      <c r="M33" s="126">
        <f t="shared" si="4"/>
        <v>8</v>
      </c>
      <c r="N33" s="127">
        <f t="shared" si="4"/>
        <v>40</v>
      </c>
    </row>
    <row r="35" spans="3:14">
      <c r="C35" s="25" t="s">
        <v>549</v>
      </c>
    </row>
  </sheetData>
  <sheetProtection algorithmName="SHA-512" hashValue="+W89ke3AcxNsmqRBPH7dw5rnF5e+OH++tMd3t8WFbJoh+f7CY1VG8F29VFuqi+kGgdS7z4zjixSlDpGJCVnh+A==" saltValue="xwVGRp+f0VhXwwOt2Ey0mQ==" spinCount="100000" sheet="1" formatCells="0" formatColumns="0" formatRows="0" selectLockedCells="1"/>
  <mergeCells count="15">
    <mergeCell ref="I3:J3"/>
    <mergeCell ref="I4:J4"/>
    <mergeCell ref="I5:J5"/>
    <mergeCell ref="I6:J6"/>
    <mergeCell ref="H2:J2"/>
    <mergeCell ref="F4:G4"/>
    <mergeCell ref="O4:P7"/>
    <mergeCell ref="C31:D31"/>
    <mergeCell ref="C32:D32"/>
    <mergeCell ref="C33:D33"/>
    <mergeCell ref="C9:C10"/>
    <mergeCell ref="F9:F10"/>
    <mergeCell ref="D9:D10"/>
    <mergeCell ref="E9:E10"/>
    <mergeCell ref="I7:J7"/>
  </mergeCells>
  <dataValidations xWindow="410" yWindow="704" count="5">
    <dataValidation type="decimal" allowBlank="1" showInputMessage="1" showErrorMessage="1" errorTitle="Hours Exceeds Limit" error="Your Hours have Exceeded the Daily Limit of 8!" promptTitle="Input Daily Hours" prompt="Input Hours - Not to Exceed 8 Hours Per Day" sqref="L31:M32" xr:uid="{00000000-0002-0000-0000-000002000000}">
      <formula1>0</formula1>
      <formula2>8</formula2>
    </dataValidation>
    <dataValidation allowBlank="1" showInputMessage="1" showErrorMessage="1" promptTitle="PTO/Holidays" prompt="For PTO/Holidays,_x000a__x000a_Please input 8 hours for full day_x000a_and 4 hours for half day" sqref="G31:K32" xr:uid="{8D2E52D0-6689-49C0-89BE-47443419DFA0}"/>
    <dataValidation allowBlank="1" showInputMessage="1" showErrorMessage="1" promptTitle="Comments" prompt="Please add additional comments if needed to further explain the task or work that was completed." sqref="F11:F30" xr:uid="{02D6123A-7692-465C-BDA7-34F552EB7819}"/>
    <dataValidation type="list" allowBlank="1" showInputMessage="1" showErrorMessage="1" prompt="Select Project Category - Client Name (if applicable) - Project" sqref="D11:D30" xr:uid="{0801D511-1483-4AA4-9F82-0193D876B37C}">
      <formula1>OFFSET(LCOE_Project_Category_Start,MATCH(C11,LCOE_Project_Category_Col,0),3,COUNTIF(LCOE_Project_Category_Col,C11),1)</formula1>
    </dataValidation>
    <dataValidation type="list" allowBlank="1" showInputMessage="1" showErrorMessage="1" sqref="C11:C30" xr:uid="{F9734779-43FD-48B2-8C66-07FBCB17BD8D}">
      <formula1>$H$3:$H$7</formula1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l_Workbook_1">
                <anchor moveWithCells="1" sizeWithCells="1">
                  <from>
                    <xdr:col>10</xdr:col>
                    <xdr:colOff>406400</xdr:colOff>
                    <xdr:row>3</xdr:row>
                    <xdr:rowOff>0</xdr:rowOff>
                  </from>
                  <to>
                    <xdr:col>12</xdr:col>
                    <xdr:colOff>457200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10" yWindow="704" count="2">
        <x14:dataValidation type="list" allowBlank="1" showInputMessage="1" showErrorMessage="1" promptTitle="Week Start" prompt="Select The Week Based on Starting Date of Monday" xr:uid="{00000000-0002-0000-0000-000001000000}">
          <x14:formula1>
            <xm:f>'Week Number Master'!$B$4:$B$68</xm:f>
          </x14:formula1>
          <xm:sqref>E7</xm:sqref>
        </x14:dataValidation>
        <x14:dataValidation type="list" allowBlank="1" showInputMessage="1" showErrorMessage="1" promptTitle="Employee Name" prompt="Select Name" xr:uid="{00000000-0002-0000-0000-000000000000}">
          <x14:formula1>
            <xm:f>'Employee Master'!$D$6:$D$17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55"/>
  <sheetViews>
    <sheetView showGridLines="0" zoomScale="90" zoomScaleNormal="90" workbookViewId="0">
      <pane ySplit="1" topLeftCell="A2" activePane="bottomLeft" state="frozen"/>
      <selection activeCell="M13" sqref="M13"/>
      <selection pane="bottomLeft" activeCell="I1" sqref="I1"/>
    </sheetView>
  </sheetViews>
  <sheetFormatPr defaultRowHeight="13"/>
  <cols>
    <col min="1" max="1" width="21.109375" customWidth="1"/>
    <col min="2" max="2" width="11.5546875" style="9" customWidth="1"/>
    <col min="3" max="3" width="19.5546875" customWidth="1"/>
    <col min="4" max="4" width="18.88671875" customWidth="1"/>
    <col min="5" max="5" width="26" style="8" customWidth="1"/>
    <col min="6" max="6" width="12.88671875" customWidth="1"/>
    <col min="7" max="7" width="58.33203125" customWidth="1"/>
    <col min="8" max="8" width="17.33203125" customWidth="1"/>
    <col min="9" max="9" width="10.5546875" customWidth="1"/>
    <col min="10" max="10" width="13.88671875" customWidth="1"/>
    <col min="11" max="11" width="9.44140625" customWidth="1"/>
    <col min="12" max="12" width="10.5546875" customWidth="1"/>
    <col min="13" max="13" width="12.77734375" customWidth="1"/>
    <col min="14" max="14" width="15.44140625" customWidth="1"/>
  </cols>
  <sheetData>
    <row r="1" spans="1:14" ht="29.5" thickBot="1">
      <c r="A1" s="67" t="s">
        <v>10</v>
      </c>
      <c r="B1" s="68" t="s">
        <v>41</v>
      </c>
      <c r="C1" s="68" t="s">
        <v>37</v>
      </c>
      <c r="D1" s="68" t="s">
        <v>42</v>
      </c>
      <c r="E1" s="69" t="s">
        <v>44</v>
      </c>
      <c r="F1" s="68" t="s">
        <v>32</v>
      </c>
      <c r="G1" s="68" t="s">
        <v>0</v>
      </c>
      <c r="H1" s="68" t="s">
        <v>12</v>
      </c>
      <c r="I1" s="68" t="s">
        <v>43</v>
      </c>
      <c r="J1" s="68" t="s">
        <v>275</v>
      </c>
      <c r="K1" s="68" t="s">
        <v>160</v>
      </c>
      <c r="L1" s="70" t="s">
        <v>163</v>
      </c>
      <c r="M1" s="71" t="s">
        <v>162</v>
      </c>
      <c r="N1" s="72" t="s">
        <v>161</v>
      </c>
    </row>
    <row r="2" spans="1:14" ht="14.5">
      <c r="A2" s="73" t="str">
        <f>IF('Time Entry'!$D$7="","",'Time Entry'!$D$7)</f>
        <v>Steed Clark</v>
      </c>
      <c r="B2" s="74">
        <f>IF('Time Entry'!$F$7="","",'Time Entry'!$F$7)</f>
        <v>35</v>
      </c>
      <c r="C2" s="75">
        <f>IF('Time Entry'!$E$7="","",'Time Entry'!$E$7)</f>
        <v>44793</v>
      </c>
      <c r="D2" s="75">
        <f>IF('Time Entry'!$M$10="","",'Time Entry'!$M$10)</f>
        <v>44799</v>
      </c>
      <c r="E2" s="82" t="str">
        <f>IF('Time Entry'!$B$13="","",'Time Entry'!$B$13)</f>
        <v/>
      </c>
      <c r="F2" s="82" t="str">
        <f>IF('Time Entry'!C$13="","",'Time Entry'!C$13)</f>
        <v>CB</v>
      </c>
      <c r="G2" s="82" t="str">
        <f>IF('Time Entry'!D$13="","",'Time Entry'!D$13)</f>
        <v>US Logistics - Fuel Sourcing</v>
      </c>
      <c r="H2" s="82" t="str">
        <f>IF('Time Entry'!E$13="","",'Time Entry'!E$13)</f>
        <v>USL-002-CB</v>
      </c>
      <c r="I2" s="82">
        <f>IF('Time Entry'!$M$13="","",'Time Entry'!$M$13)</f>
        <v>1</v>
      </c>
      <c r="J2" s="82" t="str">
        <f>IF('Time Entry'!$F$13="","",'Time Entry'!$F$13)</f>
        <v/>
      </c>
      <c r="K2" s="74">
        <f>IF(I2="","",(IF(AND(WEEKDAY(D2)&gt;1,WEEKDAY(D2)&lt;7),(IF(I2="","",(IF(I2&gt;8,8,I2)))),0)))</f>
        <v>1</v>
      </c>
      <c r="L2" s="85">
        <f t="shared" ref="L2:L33" si="0">IF(K2="","",(IF(AND(WEEKDAY(D2)&gt;1,WEEKDAY(D2)&lt;7),K2/8,0)))</f>
        <v>0.125</v>
      </c>
      <c r="M2" s="86">
        <f t="shared" ref="M2:M33" si="1">IF(I2="","",(IF(K2=0,0,(K2/SUMIF($D$2:$D$155,D2,$K$2:$K$155)))*8))</f>
        <v>1</v>
      </c>
      <c r="N2" s="87">
        <f>IF(I2="","",(M2/8))</f>
        <v>0.125</v>
      </c>
    </row>
    <row r="3" spans="1:14" ht="14.5">
      <c r="A3" s="76" t="str">
        <f>IF('Time Entry'!$D$7="","",'Time Entry'!$D$7)</f>
        <v>Steed Clark</v>
      </c>
      <c r="B3" s="77">
        <f>IF('Time Entry'!$F$7="","",'Time Entry'!$F$7)</f>
        <v>35</v>
      </c>
      <c r="C3" s="78">
        <f>IF('Time Entry'!$E$7="","",'Time Entry'!$E$7)</f>
        <v>44793</v>
      </c>
      <c r="D3" s="78">
        <f>IF('Time Entry'!$J$10="","",'Time Entry'!$J$10)</f>
        <v>44796</v>
      </c>
      <c r="E3" s="83" t="str">
        <f>IF('Time Entry'!$B$13="","",'Time Entry'!$B$13)</f>
        <v/>
      </c>
      <c r="F3" s="83" t="str">
        <f>IF('Time Entry'!C$13="","",'Time Entry'!C$13)</f>
        <v>CB</v>
      </c>
      <c r="G3" s="83" t="str">
        <f>IF('Time Entry'!D$13="","",'Time Entry'!D$13)</f>
        <v>US Logistics - Fuel Sourcing</v>
      </c>
      <c r="H3" s="83" t="str">
        <f>IF('Time Entry'!E$13="","",'Time Entry'!E$13)</f>
        <v>USL-002-CB</v>
      </c>
      <c r="I3" s="83">
        <f>IF('Time Entry'!$J$13="","",'Time Entry'!$J$13)</f>
        <v>2</v>
      </c>
      <c r="J3" s="83" t="str">
        <f>IF('Time Entry'!$F$13="","",'Time Entry'!$F$13)</f>
        <v/>
      </c>
      <c r="K3" s="77">
        <f>IF(I3="","",(IF(AND(WEEKDAY(D3)&gt;1,WEEKDAY(D3)&lt;7),(IF(I3="","",(IF(I3&gt;8,8,I3)))),0)))</f>
        <v>2</v>
      </c>
      <c r="L3" s="88">
        <f t="shared" si="0"/>
        <v>0.25</v>
      </c>
      <c r="M3" s="89">
        <f t="shared" si="1"/>
        <v>2</v>
      </c>
      <c r="N3" s="90">
        <f t="shared" ref="N3:N66" si="2">IF(I3="","",(M3/8))</f>
        <v>0.25</v>
      </c>
    </row>
    <row r="4" spans="1:14" ht="14.5">
      <c r="A4" s="76" t="str">
        <f>IF('Time Entry'!$D$7="","",'Time Entry'!$D$7)</f>
        <v>Steed Clark</v>
      </c>
      <c r="B4" s="77">
        <f>IF('Time Entry'!$F$7="","",'Time Entry'!$F$7)</f>
        <v>35</v>
      </c>
      <c r="C4" s="78">
        <f>IF('Time Entry'!$E$7="","",'Time Entry'!$E$7)</f>
        <v>44793</v>
      </c>
      <c r="D4" s="78">
        <f>IF('Time Entry'!$K$10="","",'Time Entry'!$K$10)</f>
        <v>44797</v>
      </c>
      <c r="E4" s="83" t="str">
        <f>IF('Time Entry'!$B$11="","",'Time Entry'!$B$11)</f>
        <v/>
      </c>
      <c r="F4" s="83" t="str">
        <f>IF('Time Entry'!C$11="","",'Time Entry'!C$11)</f>
        <v>LD</v>
      </c>
      <c r="G4" s="83" t="str">
        <f>IF('Time Entry'!D$11="","",'Time Entry'!D$11)</f>
        <v>Jaggaer Build</v>
      </c>
      <c r="H4" s="83" t="str">
        <f>IF('Time Entry'!E$11="","",'Time Entry'!E$11)</f>
        <v>COE-017-LD</v>
      </c>
      <c r="I4" s="83">
        <f>IF('Time Entry'!$K$11="","",'Time Entry'!$K$11)</f>
        <v>2</v>
      </c>
      <c r="J4" s="83" t="str">
        <f>IF('Time Entry'!$F$11="","",'Time Entry'!$F$11)</f>
        <v>training and cost model</v>
      </c>
      <c r="K4" s="77">
        <f>IF(I4="","",(IF(AND(WEEKDAY(D4)&gt;1,WEEKDAY(D4)&lt;7),(IF(I4="","",(IF(I4&gt;8,8,I4)))),0)))</f>
        <v>2</v>
      </c>
      <c r="L4" s="88">
        <f t="shared" si="0"/>
        <v>0.25</v>
      </c>
      <c r="M4" s="89">
        <f t="shared" si="1"/>
        <v>2</v>
      </c>
      <c r="N4" s="90">
        <f t="shared" si="2"/>
        <v>0.25</v>
      </c>
    </row>
    <row r="5" spans="1:14" ht="14.5">
      <c r="A5" s="76" t="str">
        <f>IF('Time Entry'!$D$7="","",'Time Entry'!$D$7)</f>
        <v>Steed Clark</v>
      </c>
      <c r="B5" s="77">
        <f>IF('Time Entry'!$F$7="","",'Time Entry'!$F$7)</f>
        <v>35</v>
      </c>
      <c r="C5" s="78">
        <f>IF('Time Entry'!$E$7="","",'Time Entry'!$E$7)</f>
        <v>44793</v>
      </c>
      <c r="D5" s="78">
        <f>IF('Time Entry'!$I$10="","",'Time Entry'!$I$10)</f>
        <v>44795</v>
      </c>
      <c r="E5" s="83" t="str">
        <f>IF('Time Entry'!$B$13="","",'Time Entry'!$B$13)</f>
        <v/>
      </c>
      <c r="F5" s="83" t="str">
        <f>IF('Time Entry'!C$13="","",'Time Entry'!C$13)</f>
        <v>CB</v>
      </c>
      <c r="G5" s="83" t="str">
        <f>IF('Time Entry'!D$13="","",'Time Entry'!D$13)</f>
        <v>US Logistics - Fuel Sourcing</v>
      </c>
      <c r="H5" s="83" t="str">
        <f>IF('Time Entry'!E$13="","",'Time Entry'!E$13)</f>
        <v>USL-002-CB</v>
      </c>
      <c r="I5" s="83">
        <f>IF('Time Entry'!$I$13="","",'Time Entry'!$I$13)</f>
        <v>2</v>
      </c>
      <c r="J5" s="83" t="str">
        <f>IF('Time Entry'!$F$13="","",'Time Entry'!$F$13)</f>
        <v/>
      </c>
      <c r="K5" s="77">
        <f>IF(I5="","",(IF(AND(WEEKDAY(D5)&gt;1,WEEKDAY(D5)&lt;7),(IF(I5="","",(IF(I5&gt;8,8,I5)))),0)))</f>
        <v>2</v>
      </c>
      <c r="L5" s="88">
        <f t="shared" si="0"/>
        <v>0.25</v>
      </c>
      <c r="M5" s="89">
        <f t="shared" si="1"/>
        <v>2</v>
      </c>
      <c r="N5" s="90">
        <f t="shared" si="2"/>
        <v>0.25</v>
      </c>
    </row>
    <row r="6" spans="1:14" ht="14.5">
      <c r="A6" s="76" t="str">
        <f>IF('Time Entry'!$D$7="","",'Time Entry'!$D$7)</f>
        <v>Steed Clark</v>
      </c>
      <c r="B6" s="77">
        <f>IF('Time Entry'!$F$7="","",'Time Entry'!$F$7)</f>
        <v>35</v>
      </c>
      <c r="C6" s="78">
        <f>IF('Time Entry'!$E$7="","",'Time Entry'!$E$7)</f>
        <v>44793</v>
      </c>
      <c r="D6" s="78">
        <f>IF('Time Entry'!$I$10="","",'Time Entry'!$I$10)</f>
        <v>44795</v>
      </c>
      <c r="E6" s="83" t="str">
        <f>IF('Time Entry'!$B$11="","",'Time Entry'!$B$11)</f>
        <v/>
      </c>
      <c r="F6" s="83" t="str">
        <f>IF('Time Entry'!C$11="","",'Time Entry'!C$11)</f>
        <v>LD</v>
      </c>
      <c r="G6" s="83" t="str">
        <f>IF('Time Entry'!D$11="","",'Time Entry'!D$11)</f>
        <v>Jaggaer Build</v>
      </c>
      <c r="H6" s="83" t="str">
        <f>IF('Time Entry'!E$11="","",'Time Entry'!E$11)</f>
        <v>COE-017-LD</v>
      </c>
      <c r="I6" s="83">
        <f>IF('Time Entry'!$I$11="","",'Time Entry'!$I$11)</f>
        <v>2</v>
      </c>
      <c r="J6" s="83" t="str">
        <f>IF('Time Entry'!$F$11="","",'Time Entry'!$F$11)</f>
        <v>training and cost model</v>
      </c>
      <c r="K6" s="77">
        <f>IF(I6="","",(IF(AND(WEEKDAY(D6)&gt;1,WEEKDAY(D6)&lt;7),(IF(I6="","",(IF(I6&gt;8,8,I6)))),0)))</f>
        <v>2</v>
      </c>
      <c r="L6" s="88">
        <f t="shared" si="0"/>
        <v>0.25</v>
      </c>
      <c r="M6" s="89">
        <f t="shared" si="1"/>
        <v>2</v>
      </c>
      <c r="N6" s="90">
        <f t="shared" si="2"/>
        <v>0.25</v>
      </c>
    </row>
    <row r="7" spans="1:14" ht="14.5">
      <c r="A7" s="76" t="str">
        <f>IF('Time Entry'!$D$7="","",'Time Entry'!$D$7)</f>
        <v>Steed Clark</v>
      </c>
      <c r="B7" s="77">
        <f>IF('Time Entry'!$F$7="","",'Time Entry'!$F$7)</f>
        <v>35</v>
      </c>
      <c r="C7" s="78">
        <f>IF('Time Entry'!$E$7="","",'Time Entry'!$E$7)</f>
        <v>44793</v>
      </c>
      <c r="D7" s="78">
        <f>IF('Time Entry'!$L$10="","",'Time Entry'!$L$10)</f>
        <v>44798</v>
      </c>
      <c r="E7" s="83" t="str">
        <f>IF('Time Entry'!$B$11="","",'Time Entry'!$B$11)</f>
        <v/>
      </c>
      <c r="F7" s="83" t="str">
        <f>IF('Time Entry'!C$11="","",'Time Entry'!C$11)</f>
        <v>LD</v>
      </c>
      <c r="G7" s="83" t="str">
        <f>IF('Time Entry'!D$11="","",'Time Entry'!D$11)</f>
        <v>Jaggaer Build</v>
      </c>
      <c r="H7" s="83" t="str">
        <f>IF('Time Entry'!E$11="","",'Time Entry'!E$11)</f>
        <v>COE-017-LD</v>
      </c>
      <c r="I7" s="83">
        <f>IF('Time Entry'!$L$11="","",'Time Entry'!$L$11)</f>
        <v>2</v>
      </c>
      <c r="J7" s="83" t="str">
        <f>IF('Time Entry'!$F$11="","",'Time Entry'!$F$11)</f>
        <v>training and cost model</v>
      </c>
      <c r="K7" s="77">
        <f>IF(I7="","",(IF(AND(WEEKDAY(D7)&gt;1,WEEKDAY(D7)&lt;7),(IF(I7="","",(IF(I7&gt;8,8,I7)))),0)))</f>
        <v>2</v>
      </c>
      <c r="L7" s="88">
        <f t="shared" si="0"/>
        <v>0.25</v>
      </c>
      <c r="M7" s="89">
        <f t="shared" si="1"/>
        <v>2</v>
      </c>
      <c r="N7" s="90">
        <f t="shared" si="2"/>
        <v>0.25</v>
      </c>
    </row>
    <row r="8" spans="1:14" ht="14.5">
      <c r="A8" s="76" t="str">
        <f>IF('Time Entry'!$D$7="","",'Time Entry'!$D$7)</f>
        <v>Steed Clark</v>
      </c>
      <c r="B8" s="77">
        <f>IF('Time Entry'!$F$7="","",'Time Entry'!$F$7)</f>
        <v>35</v>
      </c>
      <c r="C8" s="78">
        <f>IF('Time Entry'!$E$7="","",'Time Entry'!$E$7)</f>
        <v>44793</v>
      </c>
      <c r="D8" s="78">
        <f>IF('Time Entry'!$M$10="","",'Time Entry'!$M$10)</f>
        <v>44799</v>
      </c>
      <c r="E8" s="83" t="str">
        <f>IF('Time Entry'!$B$11="","",'Time Entry'!$B$11)</f>
        <v/>
      </c>
      <c r="F8" s="83" t="str">
        <f>IF('Time Entry'!C$11="","",'Time Entry'!C$11)</f>
        <v>LD</v>
      </c>
      <c r="G8" s="83" t="str">
        <f>IF('Time Entry'!D$11="","",'Time Entry'!D$11)</f>
        <v>Jaggaer Build</v>
      </c>
      <c r="H8" s="83" t="str">
        <f>IF('Time Entry'!E$11="","",'Time Entry'!E$11)</f>
        <v>COE-017-LD</v>
      </c>
      <c r="I8" s="83">
        <f>IF('Time Entry'!$M$11="","",'Time Entry'!$M$11)</f>
        <v>3</v>
      </c>
      <c r="J8" s="83" t="str">
        <f>IF('Time Entry'!$F$11="","",'Time Entry'!$F$11)</f>
        <v>training and cost model</v>
      </c>
      <c r="K8" s="77">
        <f>IF(I8="","",(IF(AND(WEEKDAY(D8)&gt;1,WEEKDAY(D8)&lt;7),(IF(I8="","",(IF(I8&gt;8,8,I8)))),0)))</f>
        <v>3</v>
      </c>
      <c r="L8" s="88">
        <f t="shared" si="0"/>
        <v>0.375</v>
      </c>
      <c r="M8" s="89">
        <f t="shared" si="1"/>
        <v>3</v>
      </c>
      <c r="N8" s="90">
        <f t="shared" si="2"/>
        <v>0.375</v>
      </c>
    </row>
    <row r="9" spans="1:14" ht="14.5">
      <c r="A9" s="76" t="str">
        <f>IF('Time Entry'!$D$7="","",'Time Entry'!$D$7)</f>
        <v>Steed Clark</v>
      </c>
      <c r="B9" s="77">
        <f>IF('Time Entry'!$F$7="","",'Time Entry'!$F$7)</f>
        <v>35</v>
      </c>
      <c r="C9" s="78">
        <f>IF('Time Entry'!$E$7="","",'Time Entry'!$E$7)</f>
        <v>44793</v>
      </c>
      <c r="D9" s="78">
        <f>IF('Time Entry'!$I$10="","",'Time Entry'!$I$10)</f>
        <v>44795</v>
      </c>
      <c r="E9" s="83" t="str">
        <f>IF('Time Entry'!$B$12="","",'Time Entry'!$B$12)</f>
        <v/>
      </c>
      <c r="F9" s="83" t="str">
        <f>IF('Time Entry'!C$12="","",'Time Entry'!C$12)</f>
        <v>CB</v>
      </c>
      <c r="G9" s="83" t="str">
        <f>IF('Time Entry'!D$12="","",'Time Entry'!D$12)</f>
        <v>US Logistics - FP&amp;A</v>
      </c>
      <c r="H9" s="83" t="str">
        <f>IF('Time Entry'!E$12="","",'Time Entry'!E$12)</f>
        <v>USL-001-CB</v>
      </c>
      <c r="I9" s="83">
        <f>IF('Time Entry'!$I$12="","",'Time Entry'!$I$12)</f>
        <v>4</v>
      </c>
      <c r="J9" s="83" t="str">
        <f>IF('Time Entry'!$F$12="","",'Time Entry'!$F$12)</f>
        <v/>
      </c>
      <c r="K9" s="77">
        <f>IF(I9="","",(IF(AND(WEEKDAY(D9)&gt;1,WEEKDAY(D9)&lt;7),(IF(I9="","",(IF(I9&gt;8,8,I9)))),0)))</f>
        <v>4</v>
      </c>
      <c r="L9" s="88">
        <f t="shared" si="0"/>
        <v>0.5</v>
      </c>
      <c r="M9" s="89">
        <f t="shared" si="1"/>
        <v>4</v>
      </c>
      <c r="N9" s="90">
        <f t="shared" si="2"/>
        <v>0.5</v>
      </c>
    </row>
    <row r="10" spans="1:14" ht="14.5">
      <c r="A10" s="76" t="str">
        <f>IF('Time Entry'!$D$7="","",'Time Entry'!$D$7)</f>
        <v>Steed Clark</v>
      </c>
      <c r="B10" s="77">
        <f>IF('Time Entry'!$F$7="","",'Time Entry'!$F$7)</f>
        <v>35</v>
      </c>
      <c r="C10" s="78">
        <f>IF('Time Entry'!$E$7="","",'Time Entry'!$E$7)</f>
        <v>44793</v>
      </c>
      <c r="D10" s="78">
        <f>IF('Time Entry'!$M$10="","",'Time Entry'!$M$10)</f>
        <v>44799</v>
      </c>
      <c r="E10" s="83" t="str">
        <f>IF('Time Entry'!$B$12="","",'Time Entry'!$B$12)</f>
        <v/>
      </c>
      <c r="F10" s="83" t="str">
        <f>IF('Time Entry'!C$12="","",'Time Entry'!C$12)</f>
        <v>CB</v>
      </c>
      <c r="G10" s="83" t="str">
        <f>IF('Time Entry'!D$12="","",'Time Entry'!D$12)</f>
        <v>US Logistics - FP&amp;A</v>
      </c>
      <c r="H10" s="83" t="str">
        <f>IF('Time Entry'!E$12="","",'Time Entry'!E$12)</f>
        <v>USL-001-CB</v>
      </c>
      <c r="I10" s="83">
        <f>IF('Time Entry'!$M$12="","",'Time Entry'!$M$12)</f>
        <v>4</v>
      </c>
      <c r="J10" s="83" t="str">
        <f>IF('Time Entry'!$F$12="","",'Time Entry'!$F$12)</f>
        <v/>
      </c>
      <c r="K10" s="77">
        <f>IF(I10="","",(IF(AND(WEEKDAY(D10)&gt;1,WEEKDAY(D10)&lt;7),(IF(I10="","",(IF(I10&gt;8,8,I10)))),0)))</f>
        <v>4</v>
      </c>
      <c r="L10" s="88">
        <f t="shared" si="0"/>
        <v>0.5</v>
      </c>
      <c r="M10" s="89">
        <f t="shared" si="1"/>
        <v>4</v>
      </c>
      <c r="N10" s="90">
        <f t="shared" si="2"/>
        <v>0.5</v>
      </c>
    </row>
    <row r="11" spans="1:14" ht="14.5">
      <c r="A11" s="76" t="str">
        <f>IF('Time Entry'!$D$7="","",'Time Entry'!$D$7)</f>
        <v>Steed Clark</v>
      </c>
      <c r="B11" s="77">
        <f>IF('Time Entry'!$F$7="","",'Time Entry'!$F$7)</f>
        <v>35</v>
      </c>
      <c r="C11" s="78">
        <f>IF('Time Entry'!$E$7="","",'Time Entry'!$E$7)</f>
        <v>44793</v>
      </c>
      <c r="D11" s="78">
        <f>IF('Time Entry'!$L$10="","",'Time Entry'!$L$10)</f>
        <v>44798</v>
      </c>
      <c r="E11" s="83" t="str">
        <f>IF('Time Entry'!$B$12="","",'Time Entry'!$B$12)</f>
        <v/>
      </c>
      <c r="F11" s="83" t="str">
        <f>IF('Time Entry'!C$12="","",'Time Entry'!C$12)</f>
        <v>CB</v>
      </c>
      <c r="G11" s="83" t="str">
        <f>IF('Time Entry'!D$12="","",'Time Entry'!D$12)</f>
        <v>US Logistics - FP&amp;A</v>
      </c>
      <c r="H11" s="83" t="str">
        <f>IF('Time Entry'!E$12="","",'Time Entry'!E$12)</f>
        <v>USL-001-CB</v>
      </c>
      <c r="I11" s="83">
        <f>IF('Time Entry'!$L$12="","",'Time Entry'!$L$12)</f>
        <v>6</v>
      </c>
      <c r="J11" s="83" t="str">
        <f>IF('Time Entry'!$F$12="","",'Time Entry'!$F$12)</f>
        <v/>
      </c>
      <c r="K11" s="77">
        <f>IF(I11="","",(IF(AND(WEEKDAY(D11)&gt;1,WEEKDAY(D11)&lt;7),(IF(I11="","",(IF(I11&gt;8,8,I11)))),0)))</f>
        <v>6</v>
      </c>
      <c r="L11" s="88">
        <f t="shared" si="0"/>
        <v>0.75</v>
      </c>
      <c r="M11" s="89">
        <f t="shared" si="1"/>
        <v>6</v>
      </c>
      <c r="N11" s="90">
        <f t="shared" si="2"/>
        <v>0.75</v>
      </c>
    </row>
    <row r="12" spans="1:14" ht="14.5">
      <c r="A12" s="76" t="str">
        <f>IF('Time Entry'!$D$7="","",'Time Entry'!$D$7)</f>
        <v>Steed Clark</v>
      </c>
      <c r="B12" s="77">
        <f>IF('Time Entry'!$F$7="","",'Time Entry'!$F$7)</f>
        <v>35</v>
      </c>
      <c r="C12" s="78">
        <f>IF('Time Entry'!$E$7="","",'Time Entry'!$E$7)</f>
        <v>44793</v>
      </c>
      <c r="D12" s="78">
        <f>IF('Time Entry'!$K$10="","",'Time Entry'!$K$10)</f>
        <v>44797</v>
      </c>
      <c r="E12" s="83" t="str">
        <f>IF('Time Entry'!$B$12="","",'Time Entry'!$B$12)</f>
        <v/>
      </c>
      <c r="F12" s="83" t="str">
        <f>IF('Time Entry'!C$12="","",'Time Entry'!C$12)</f>
        <v>CB</v>
      </c>
      <c r="G12" s="83" t="str">
        <f>IF('Time Entry'!D$12="","",'Time Entry'!D$12)</f>
        <v>US Logistics - FP&amp;A</v>
      </c>
      <c r="H12" s="83" t="str">
        <f>IF('Time Entry'!E$12="","",'Time Entry'!E$12)</f>
        <v>USL-001-CB</v>
      </c>
      <c r="I12" s="83">
        <f>IF('Time Entry'!$K$12="","",'Time Entry'!$K$12)</f>
        <v>6</v>
      </c>
      <c r="J12" s="83" t="str">
        <f>IF('Time Entry'!$F$12="","",'Time Entry'!$F$12)</f>
        <v/>
      </c>
      <c r="K12" s="77">
        <f>IF(I12="","",(IF(AND(WEEKDAY(D12)&gt;1,WEEKDAY(D12)&lt;7),(IF(I12="","",(IF(I12&gt;8,8,I12)))),0)))</f>
        <v>6</v>
      </c>
      <c r="L12" s="88">
        <f t="shared" si="0"/>
        <v>0.75</v>
      </c>
      <c r="M12" s="89">
        <f t="shared" si="1"/>
        <v>6</v>
      </c>
      <c r="N12" s="90">
        <f t="shared" si="2"/>
        <v>0.75</v>
      </c>
    </row>
    <row r="13" spans="1:14" ht="14.5">
      <c r="A13" s="76" t="str">
        <f>IF('Time Entry'!$D$7="","",'Time Entry'!$D$7)</f>
        <v>Steed Clark</v>
      </c>
      <c r="B13" s="77">
        <f>IF('Time Entry'!$F$7="","",'Time Entry'!$F$7)</f>
        <v>35</v>
      </c>
      <c r="C13" s="78">
        <f>IF('Time Entry'!$E$7="","",'Time Entry'!$E$7)</f>
        <v>44793</v>
      </c>
      <c r="D13" s="78">
        <f>IF('Time Entry'!$J$10="","",'Time Entry'!$J$10)</f>
        <v>44796</v>
      </c>
      <c r="E13" s="83" t="str">
        <f>IF('Time Entry'!$B$12="","",'Time Entry'!$B$12)</f>
        <v/>
      </c>
      <c r="F13" s="83" t="str">
        <f>IF('Time Entry'!C$12="","",'Time Entry'!C$12)</f>
        <v>CB</v>
      </c>
      <c r="G13" s="83" t="str">
        <f>IF('Time Entry'!D$12="","",'Time Entry'!D$12)</f>
        <v>US Logistics - FP&amp;A</v>
      </c>
      <c r="H13" s="83" t="str">
        <f>IF('Time Entry'!E$12="","",'Time Entry'!E$12)</f>
        <v>USL-001-CB</v>
      </c>
      <c r="I13" s="83">
        <f>IF('Time Entry'!$J$12="","",'Time Entry'!$J$12)</f>
        <v>6</v>
      </c>
      <c r="J13" s="83" t="str">
        <f>IF('Time Entry'!$F$12="","",'Time Entry'!$F$12)</f>
        <v/>
      </c>
      <c r="K13" s="77">
        <f>IF(I13="","",(IF(AND(WEEKDAY(D13)&gt;1,WEEKDAY(D13)&lt;7),(IF(I13="","",(IF(I13&gt;8,8,I13)))),0)))</f>
        <v>6</v>
      </c>
      <c r="L13" s="88">
        <f t="shared" si="0"/>
        <v>0.75</v>
      </c>
      <c r="M13" s="89">
        <f t="shared" si="1"/>
        <v>6</v>
      </c>
      <c r="N13" s="90">
        <f t="shared" si="2"/>
        <v>0.75</v>
      </c>
    </row>
    <row r="14" spans="1:14" ht="14.5">
      <c r="A14" s="76" t="str">
        <f>IF('Time Entry'!$D$7="","",'Time Entry'!$D$7)</f>
        <v>Steed Clark</v>
      </c>
      <c r="B14" s="77">
        <f>IF('Time Entry'!$F$7="","",'Time Entry'!$F$7)</f>
        <v>35</v>
      </c>
      <c r="C14" s="78">
        <f>IF('Time Entry'!$E$7="","",'Time Entry'!$E$7)</f>
        <v>44793</v>
      </c>
      <c r="D14" s="78">
        <f>IF('Time Entry'!$J$10="","",'Time Entry'!$J$10)</f>
        <v>44796</v>
      </c>
      <c r="E14" s="83" t="str">
        <f>IF('Time Entry'!$B$11="","",'Time Entry'!$B$11)</f>
        <v/>
      </c>
      <c r="F14" s="83" t="str">
        <f>IF('Time Entry'!C$11="","",'Time Entry'!C$11)</f>
        <v>LD</v>
      </c>
      <c r="G14" s="83" t="str">
        <f>IF('Time Entry'!D$11="","",'Time Entry'!D$11)</f>
        <v>Jaggaer Build</v>
      </c>
      <c r="H14" s="83" t="str">
        <f>IF('Time Entry'!E$11="","",'Time Entry'!E$11)</f>
        <v>COE-017-LD</v>
      </c>
      <c r="I14" s="83" t="str">
        <f>IF('Time Entry'!$J$11="","",'Time Entry'!$J$11)</f>
        <v/>
      </c>
      <c r="J14" s="83" t="str">
        <f>IF('Time Entry'!$F$11="","",'Time Entry'!$F$11)</f>
        <v>training and cost model</v>
      </c>
      <c r="K14" s="77" t="str">
        <f>IF(I14="","",(IF(AND(WEEKDAY(D14)&gt;1,WEEKDAY(D14)&lt;7),(IF(I14="","",(IF(I14&gt;8,8,I14)))),0)))</f>
        <v/>
      </c>
      <c r="L14" s="88" t="str">
        <f t="shared" si="0"/>
        <v/>
      </c>
      <c r="M14" s="89" t="str">
        <f t="shared" si="1"/>
        <v/>
      </c>
      <c r="N14" s="90" t="str">
        <f t="shared" si="2"/>
        <v/>
      </c>
    </row>
    <row r="15" spans="1:14" ht="14.5">
      <c r="A15" s="76" t="str">
        <f>IF('Time Entry'!$D$7="","",'Time Entry'!$D$7)</f>
        <v>Steed Clark</v>
      </c>
      <c r="B15" s="77">
        <f>IF('Time Entry'!$F$7="","",'Time Entry'!$F$7)</f>
        <v>35</v>
      </c>
      <c r="C15" s="78">
        <f>IF('Time Entry'!$E$7="","",'Time Entry'!$E$7)</f>
        <v>44793</v>
      </c>
      <c r="D15" s="78">
        <f>IF('Time Entry'!$I$10="","",'Time Entry'!$I$10)</f>
        <v>44795</v>
      </c>
      <c r="E15" s="83" t="str">
        <f>IF('Time Entry'!$B$14="","",'Time Entry'!$B$14)</f>
        <v/>
      </c>
      <c r="F15" s="83" t="str">
        <f>IF('Time Entry'!C$14="","",'Time Entry'!C$14)</f>
        <v>CB</v>
      </c>
      <c r="G15" s="83" t="str">
        <f>IF('Time Entry'!D$14="","",'Time Entry'!D$14)</f>
        <v/>
      </c>
      <c r="H15" s="83" t="str">
        <f>IF('Time Entry'!E$14="","",'Time Entry'!E$14)</f>
        <v/>
      </c>
      <c r="I15" s="83" t="str">
        <f>IF('Time Entry'!$I$14="","",'Time Entry'!$I$14)</f>
        <v/>
      </c>
      <c r="J15" s="83" t="str">
        <f>IF('Time Entry'!$F$14="","",'Time Entry'!$F$14)</f>
        <v/>
      </c>
      <c r="K15" s="77" t="str">
        <f>IF(I15="","",(IF(AND(WEEKDAY(D15)&gt;1,WEEKDAY(D15)&lt;7),(IF(I15="","",(IF(I15&gt;8,8,I15)))),0)))</f>
        <v/>
      </c>
      <c r="L15" s="88" t="str">
        <f t="shared" si="0"/>
        <v/>
      </c>
      <c r="M15" s="89" t="str">
        <f t="shared" si="1"/>
        <v/>
      </c>
      <c r="N15" s="90" t="str">
        <f t="shared" si="2"/>
        <v/>
      </c>
    </row>
    <row r="16" spans="1:14" ht="14.5">
      <c r="A16" s="76" t="str">
        <f>IF('Time Entry'!$D$7="","",'Time Entry'!$D$7)</f>
        <v>Steed Clark</v>
      </c>
      <c r="B16" s="77">
        <f>IF('Time Entry'!$F$7="","",'Time Entry'!$F$7)</f>
        <v>35</v>
      </c>
      <c r="C16" s="78">
        <f>IF('Time Entry'!$E$7="","",'Time Entry'!$E$7)</f>
        <v>44793</v>
      </c>
      <c r="D16" s="78">
        <f>IF('Time Entry'!$G$10="","",'Time Entry'!$G$10)</f>
        <v>44793</v>
      </c>
      <c r="E16" s="83" t="str">
        <f>IF('Time Entry'!$B$11="","",'Time Entry'!$B$11)</f>
        <v/>
      </c>
      <c r="F16" s="83" t="str">
        <f>IF('Time Entry'!C$11="","",'Time Entry'!C$11)</f>
        <v>LD</v>
      </c>
      <c r="G16" s="83" t="str">
        <f>IF('Time Entry'!D$11="","",'Time Entry'!D$11)</f>
        <v>Jaggaer Build</v>
      </c>
      <c r="H16" s="83" t="str">
        <f>IF('Time Entry'!E$11="","",'Time Entry'!E$11)</f>
        <v>COE-017-LD</v>
      </c>
      <c r="I16" s="83" t="str">
        <f>IF('Time Entry'!$G$11="","",'Time Entry'!$G$11)</f>
        <v/>
      </c>
      <c r="J16" s="83" t="str">
        <f>IF('Time Entry'!$F$11="","",'Time Entry'!$F$11)</f>
        <v>training and cost model</v>
      </c>
      <c r="K16" s="77" t="str">
        <f>IF(I16="","",(IF(AND(WEEKDAY(D16)&gt;1,WEEKDAY(D16)&lt;7),(IF(I16="","",(IF(I16&gt;8,8,I16)))),0)))</f>
        <v/>
      </c>
      <c r="L16" s="88" t="str">
        <f t="shared" si="0"/>
        <v/>
      </c>
      <c r="M16" s="91" t="str">
        <f t="shared" si="1"/>
        <v/>
      </c>
      <c r="N16" s="92" t="str">
        <f t="shared" si="2"/>
        <v/>
      </c>
    </row>
    <row r="17" spans="1:14" ht="14.5">
      <c r="A17" s="76" t="str">
        <f>IF('Time Entry'!$D$7="","",'Time Entry'!$D$7)</f>
        <v>Steed Clark</v>
      </c>
      <c r="B17" s="77">
        <f>IF('Time Entry'!$F$7="","",'Time Entry'!$F$7)</f>
        <v>35</v>
      </c>
      <c r="C17" s="78">
        <f>IF('Time Entry'!$E$7="","",'Time Entry'!$E$7)</f>
        <v>44793</v>
      </c>
      <c r="D17" s="78">
        <f>IF('Time Entry'!$K$10="","",'Time Entry'!$K$10)</f>
        <v>44797</v>
      </c>
      <c r="E17" s="83" t="str">
        <f>IF('Time Entry'!$B$13="","",'Time Entry'!$B$13)</f>
        <v/>
      </c>
      <c r="F17" s="83" t="str">
        <f>IF('Time Entry'!C$13="","",'Time Entry'!C$13)</f>
        <v>CB</v>
      </c>
      <c r="G17" s="83" t="str">
        <f>IF('Time Entry'!D$13="","",'Time Entry'!D$13)</f>
        <v>US Logistics - Fuel Sourcing</v>
      </c>
      <c r="H17" s="83" t="str">
        <f>IF('Time Entry'!E$13="","",'Time Entry'!E$13)</f>
        <v>USL-002-CB</v>
      </c>
      <c r="I17" s="83" t="str">
        <f>IF('Time Entry'!$K$13="","",'Time Entry'!$K$13)</f>
        <v/>
      </c>
      <c r="J17" s="83" t="str">
        <f>IF('Time Entry'!$F$13="","",'Time Entry'!$F$13)</f>
        <v/>
      </c>
      <c r="K17" s="77" t="str">
        <f>IF(I17="","",(IF(AND(WEEKDAY(D17)&gt;1,WEEKDAY(D17)&lt;7),(IF(I17="","",(IF(I17&gt;8,8,I17)))),0)))</f>
        <v/>
      </c>
      <c r="L17" s="88" t="str">
        <f t="shared" si="0"/>
        <v/>
      </c>
      <c r="M17" s="91" t="str">
        <f t="shared" si="1"/>
        <v/>
      </c>
      <c r="N17" s="92" t="str">
        <f t="shared" si="2"/>
        <v/>
      </c>
    </row>
    <row r="18" spans="1:14" ht="14.5">
      <c r="A18" s="76" t="str">
        <f>IF('Time Entry'!$D$7="","",'Time Entry'!$D$7)</f>
        <v>Steed Clark</v>
      </c>
      <c r="B18" s="77">
        <f>IF('Time Entry'!$F$7="","",'Time Entry'!$F$7)</f>
        <v>35</v>
      </c>
      <c r="C18" s="78">
        <f>IF('Time Entry'!$E$7="","",'Time Entry'!$E$7)</f>
        <v>44793</v>
      </c>
      <c r="D18" s="78">
        <f>IF('Time Entry'!$K$10="","",'Time Entry'!$K$10)</f>
        <v>44797</v>
      </c>
      <c r="E18" s="83" t="str">
        <f>IF('Time Entry'!$B$15="","",'Time Entry'!$B$15)</f>
        <v/>
      </c>
      <c r="F18" s="83" t="str">
        <f>IF('Time Entry'!C$15="","",'Time Entry'!C$15)</f>
        <v/>
      </c>
      <c r="G18" s="83" t="str">
        <f>IF('Time Entry'!D$15="","",'Time Entry'!D$15)</f>
        <v/>
      </c>
      <c r="H18" s="83" t="str">
        <f>IF('Time Entry'!E$15="","",'Time Entry'!E$15)</f>
        <v/>
      </c>
      <c r="I18" s="83" t="str">
        <f>IF('Time Entry'!$K$15="","",'Time Entry'!$K$15)</f>
        <v/>
      </c>
      <c r="J18" s="83" t="str">
        <f>IF('Time Entry'!$F$15="","",'Time Entry'!$F$15)</f>
        <v/>
      </c>
      <c r="K18" s="77" t="str">
        <f>IF(I18="","",(IF(AND(WEEKDAY(D18)&gt;1,WEEKDAY(D18)&lt;7),(IF(I18="","",(IF(I18&gt;8,8,I18)))),0)))</f>
        <v/>
      </c>
      <c r="L18" s="88" t="str">
        <f t="shared" si="0"/>
        <v/>
      </c>
      <c r="M18" s="91" t="str">
        <f t="shared" si="1"/>
        <v/>
      </c>
      <c r="N18" s="92" t="str">
        <f t="shared" si="2"/>
        <v/>
      </c>
    </row>
    <row r="19" spans="1:14" ht="14.5">
      <c r="A19" s="76" t="str">
        <f>IF('Time Entry'!$D$7="","",'Time Entry'!$D$7)</f>
        <v>Steed Clark</v>
      </c>
      <c r="B19" s="77">
        <f>IF('Time Entry'!$F$7="","",'Time Entry'!$F$7)</f>
        <v>35</v>
      </c>
      <c r="C19" s="78">
        <f>IF('Time Entry'!$E$7="","",'Time Entry'!$E$7)</f>
        <v>44793</v>
      </c>
      <c r="D19" s="78">
        <f>IF('Time Entry'!$L$10="","",'Time Entry'!$L$10)</f>
        <v>44798</v>
      </c>
      <c r="E19" s="83" t="str">
        <f>IF('Time Entry'!$B$15="","",'Time Entry'!$B$15)</f>
        <v/>
      </c>
      <c r="F19" s="83" t="str">
        <f>IF('Time Entry'!C$15="","",'Time Entry'!C$15)</f>
        <v/>
      </c>
      <c r="G19" s="83" t="str">
        <f>IF('Time Entry'!D$15="","",'Time Entry'!D$15)</f>
        <v/>
      </c>
      <c r="H19" s="83" t="str">
        <f>IF('Time Entry'!E$15="","",'Time Entry'!E$15)</f>
        <v/>
      </c>
      <c r="I19" s="83" t="str">
        <f>IF('Time Entry'!$L$15="","",'Time Entry'!$L$15)</f>
        <v/>
      </c>
      <c r="J19" s="83" t="str">
        <f>IF('Time Entry'!$F$15="","",'Time Entry'!$F$15)</f>
        <v/>
      </c>
      <c r="K19" s="77" t="str">
        <f>IF(I19="","",(IF(AND(WEEKDAY(D19)&gt;1,WEEKDAY(D19)&lt;7),(IF(I19="","",(IF(I19&gt;8,8,I19)))),0)))</f>
        <v/>
      </c>
      <c r="L19" s="88" t="str">
        <f t="shared" si="0"/>
        <v/>
      </c>
      <c r="M19" s="91" t="str">
        <f t="shared" si="1"/>
        <v/>
      </c>
      <c r="N19" s="92" t="str">
        <f t="shared" si="2"/>
        <v/>
      </c>
    </row>
    <row r="20" spans="1:14" ht="14.5">
      <c r="A20" s="76" t="str">
        <f>IF('Time Entry'!$D$7="","",'Time Entry'!$D$7)</f>
        <v>Steed Clark</v>
      </c>
      <c r="B20" s="77">
        <f>IF('Time Entry'!$F$7="","",'Time Entry'!$F$7)</f>
        <v>35</v>
      </c>
      <c r="C20" s="78">
        <f>IF('Time Entry'!$E$7="","",'Time Entry'!$E$7)</f>
        <v>44793</v>
      </c>
      <c r="D20" s="78">
        <f>IF('Time Entry'!$M$10="","",'Time Entry'!$M$10)</f>
        <v>44799</v>
      </c>
      <c r="E20" s="83">
        <f>IF('Time Entry'!$B$16="","",'Time Entry'!$B$16)</f>
        <v>1</v>
      </c>
      <c r="F20" s="83" t="str">
        <f>IF('Time Entry'!C$16="","",'Time Entry'!C$16)</f>
        <v/>
      </c>
      <c r="G20" s="83" t="str">
        <f>IF('Time Entry'!D$16="","",'Time Entry'!D$16)</f>
        <v/>
      </c>
      <c r="H20" s="83" t="str">
        <f>IF('Time Entry'!E$16="","",'Time Entry'!E$16)</f>
        <v/>
      </c>
      <c r="I20" s="83" t="str">
        <f>IF('Time Entry'!$M$16="","",'Time Entry'!$M$16)</f>
        <v/>
      </c>
      <c r="J20" s="83" t="str">
        <f>IF('Time Entry'!$F$16="","",'Time Entry'!$F$16)</f>
        <v/>
      </c>
      <c r="K20" s="77" t="str">
        <f>IF(I20="","",(IF(AND(WEEKDAY(D20)&gt;1,WEEKDAY(D20)&lt;7),(IF(I20="","",(IF(I20&gt;8,8,I20)))),0)))</f>
        <v/>
      </c>
      <c r="L20" s="88" t="str">
        <f t="shared" si="0"/>
        <v/>
      </c>
      <c r="M20" s="91" t="str">
        <f t="shared" si="1"/>
        <v/>
      </c>
      <c r="N20" s="92" t="str">
        <f t="shared" si="2"/>
        <v/>
      </c>
    </row>
    <row r="21" spans="1:14" ht="14.5">
      <c r="A21" s="76" t="str">
        <f>IF('Time Entry'!$D$7="","",'Time Entry'!$D$7)</f>
        <v>Steed Clark</v>
      </c>
      <c r="B21" s="77">
        <f>IF('Time Entry'!$F$7="","",'Time Entry'!$F$7)</f>
        <v>35</v>
      </c>
      <c r="C21" s="78">
        <f>IF('Time Entry'!$E$7="","",'Time Entry'!$E$7)</f>
        <v>44793</v>
      </c>
      <c r="D21" s="78">
        <f>IF('Time Entry'!$H$10="","",'Time Entry'!$H$10)</f>
        <v>44794</v>
      </c>
      <c r="E21" s="83" t="str">
        <f>IF('Time Entry'!$B$12="","",'Time Entry'!$B$12)</f>
        <v/>
      </c>
      <c r="F21" s="83" t="str">
        <f>IF('Time Entry'!C$12="","",'Time Entry'!C$12)</f>
        <v>CB</v>
      </c>
      <c r="G21" s="83" t="str">
        <f>IF('Time Entry'!D$12="","",'Time Entry'!D$12)</f>
        <v>US Logistics - FP&amp;A</v>
      </c>
      <c r="H21" s="83" t="str">
        <f>IF('Time Entry'!E$12="","",'Time Entry'!E$12)</f>
        <v>USL-001-CB</v>
      </c>
      <c r="I21" s="83" t="str">
        <f>IF('Time Entry'!$H$12="","",'Time Entry'!$H$12)</f>
        <v/>
      </c>
      <c r="J21" s="83" t="str">
        <f>IF('Time Entry'!$F$12="","",'Time Entry'!$F$12)</f>
        <v/>
      </c>
      <c r="K21" s="77" t="str">
        <f>IF(I21="","",(IF(AND(WEEKDAY(D21)&gt;1,WEEKDAY(D21)&lt;7),(IF(I21="","",(IF(I21&gt;8,8,I21)))),0)))</f>
        <v/>
      </c>
      <c r="L21" s="88" t="str">
        <f t="shared" si="0"/>
        <v/>
      </c>
      <c r="M21" s="91" t="str">
        <f t="shared" si="1"/>
        <v/>
      </c>
      <c r="N21" s="92" t="str">
        <f t="shared" si="2"/>
        <v/>
      </c>
    </row>
    <row r="22" spans="1:14" ht="14.5">
      <c r="A22" s="76" t="str">
        <f>IF('Time Entry'!$D$7="","",'Time Entry'!$D$7)</f>
        <v>Steed Clark</v>
      </c>
      <c r="B22" s="77">
        <f>IF('Time Entry'!$F$7="","",'Time Entry'!$F$7)</f>
        <v>35</v>
      </c>
      <c r="C22" s="78">
        <f>IF('Time Entry'!$E$7="","",'Time Entry'!$E$7)</f>
        <v>44793</v>
      </c>
      <c r="D22" s="78">
        <f>IF('Time Entry'!$L$10="","",'Time Entry'!$L$10)</f>
        <v>44798</v>
      </c>
      <c r="E22" s="83" t="str">
        <f>IF('Time Entry'!$B$14="","",'Time Entry'!$B$14)</f>
        <v/>
      </c>
      <c r="F22" s="83" t="str">
        <f>IF('Time Entry'!C$14="","",'Time Entry'!C$14)</f>
        <v>CB</v>
      </c>
      <c r="G22" s="83" t="str">
        <f>IF('Time Entry'!D$14="","",'Time Entry'!D$14)</f>
        <v/>
      </c>
      <c r="H22" s="83" t="str">
        <f>IF('Time Entry'!E$14="","",'Time Entry'!E$14)</f>
        <v/>
      </c>
      <c r="I22" s="83" t="str">
        <f>IF('Time Entry'!$L$14="","",'Time Entry'!$L$14)</f>
        <v/>
      </c>
      <c r="J22" s="83" t="str">
        <f>IF('Time Entry'!$F$14="","",'Time Entry'!$F$14)</f>
        <v/>
      </c>
      <c r="K22" s="77" t="str">
        <f>IF(I22="","",(IF(AND(WEEKDAY(D22)&gt;1,WEEKDAY(D22)&lt;7),(IF(I22="","",(IF(I22&gt;8,8,I22)))),0)))</f>
        <v/>
      </c>
      <c r="L22" s="88" t="str">
        <f t="shared" si="0"/>
        <v/>
      </c>
      <c r="M22" s="91" t="str">
        <f t="shared" si="1"/>
        <v/>
      </c>
      <c r="N22" s="92" t="str">
        <f t="shared" si="2"/>
        <v/>
      </c>
    </row>
    <row r="23" spans="1:14" ht="14.5">
      <c r="A23" s="76" t="str">
        <f>IF('Time Entry'!$D$7="","",'Time Entry'!$D$7)</f>
        <v>Steed Clark</v>
      </c>
      <c r="B23" s="77">
        <f>IF('Time Entry'!$F$7="","",'Time Entry'!$F$7)</f>
        <v>35</v>
      </c>
      <c r="C23" s="78">
        <f>IF('Time Entry'!$E$7="","",'Time Entry'!$E$7)</f>
        <v>44793</v>
      </c>
      <c r="D23" s="78">
        <f>IF('Time Entry'!$J$10="","",'Time Entry'!$J$10)</f>
        <v>44796</v>
      </c>
      <c r="E23" s="83" t="str">
        <f>IF('Time Entry'!$B$15="","",'Time Entry'!$B$15)</f>
        <v/>
      </c>
      <c r="F23" s="83" t="str">
        <f>IF('Time Entry'!C$15="","",'Time Entry'!C$15)</f>
        <v/>
      </c>
      <c r="G23" s="83" t="str">
        <f>IF('Time Entry'!D$15="","",'Time Entry'!D$15)</f>
        <v/>
      </c>
      <c r="H23" s="83" t="str">
        <f>IF('Time Entry'!E$15="","",'Time Entry'!E$15)</f>
        <v/>
      </c>
      <c r="I23" s="83" t="str">
        <f>IF('Time Entry'!$J$15="","",'Time Entry'!$J$15)</f>
        <v/>
      </c>
      <c r="J23" s="83" t="str">
        <f>IF('Time Entry'!$F$15="","",'Time Entry'!$F$15)</f>
        <v/>
      </c>
      <c r="K23" s="77" t="str">
        <f>IF(I23="","",(IF(AND(WEEKDAY(D23)&gt;1,WEEKDAY(D23)&lt;7),(IF(I23="","",(IF(I23&gt;8,8,I23)))),0)))</f>
        <v/>
      </c>
      <c r="L23" s="88" t="str">
        <f t="shared" si="0"/>
        <v/>
      </c>
      <c r="M23" s="91" t="str">
        <f t="shared" si="1"/>
        <v/>
      </c>
      <c r="N23" s="92" t="str">
        <f t="shared" si="2"/>
        <v/>
      </c>
    </row>
    <row r="24" spans="1:14" ht="14.5">
      <c r="A24" s="76" t="str">
        <f>IF('Time Entry'!$D$7="","",'Time Entry'!$D$7)</f>
        <v>Steed Clark</v>
      </c>
      <c r="B24" s="77">
        <f>IF('Time Entry'!$F$7="","",'Time Entry'!$F$7)</f>
        <v>35</v>
      </c>
      <c r="C24" s="78">
        <f>IF('Time Entry'!$E$7="","",'Time Entry'!$E$7)</f>
        <v>44793</v>
      </c>
      <c r="D24" s="78">
        <f>IF('Time Entry'!$J$10="","",'Time Entry'!$J$10)</f>
        <v>44796</v>
      </c>
      <c r="E24" s="83">
        <f>IF('Time Entry'!$B$16="","",'Time Entry'!$B$16)</f>
        <v>1</v>
      </c>
      <c r="F24" s="83" t="str">
        <f>IF('Time Entry'!C$16="","",'Time Entry'!C$16)</f>
        <v/>
      </c>
      <c r="G24" s="83" t="str">
        <f>IF('Time Entry'!D$16="","",'Time Entry'!D$16)</f>
        <v/>
      </c>
      <c r="H24" s="83" t="str">
        <f>IF('Time Entry'!E$16="","",'Time Entry'!E$16)</f>
        <v/>
      </c>
      <c r="I24" s="83" t="str">
        <f>IF('Time Entry'!$J$16="","",'Time Entry'!$J$16)</f>
        <v/>
      </c>
      <c r="J24" s="83" t="str">
        <f>IF('Time Entry'!$F$16="","",'Time Entry'!$F$16)</f>
        <v/>
      </c>
      <c r="K24" s="77" t="str">
        <f>IF(I24="","",(IF(AND(WEEKDAY(D24)&gt;1,WEEKDAY(D24)&lt;7),(IF(I24="","",(IF(I24&gt;8,8,I24)))),0)))</f>
        <v/>
      </c>
      <c r="L24" s="88" t="str">
        <f t="shared" si="0"/>
        <v/>
      </c>
      <c r="M24" s="91" t="str">
        <f t="shared" si="1"/>
        <v/>
      </c>
      <c r="N24" s="92" t="str">
        <f t="shared" si="2"/>
        <v/>
      </c>
    </row>
    <row r="25" spans="1:14" ht="14.5">
      <c r="A25" s="76" t="str">
        <f>IF('Time Entry'!$D$7="","",'Time Entry'!$D$7)</f>
        <v>Steed Clark</v>
      </c>
      <c r="B25" s="77">
        <f>IF('Time Entry'!$F$7="","",'Time Entry'!$F$7)</f>
        <v>35</v>
      </c>
      <c r="C25" s="78">
        <f>IF('Time Entry'!$E$7="","",'Time Entry'!$E$7)</f>
        <v>44793</v>
      </c>
      <c r="D25" s="78">
        <f>IF('Time Entry'!$L$10="","",'Time Entry'!$L$10)</f>
        <v>44798</v>
      </c>
      <c r="E25" s="83" t="str">
        <f>IF('Time Entry'!$B$13="","",'Time Entry'!$B$13)</f>
        <v/>
      </c>
      <c r="F25" s="83" t="str">
        <f>IF('Time Entry'!C$13="","",'Time Entry'!C$13)</f>
        <v>CB</v>
      </c>
      <c r="G25" s="83" t="str">
        <f>IF('Time Entry'!D$13="","",'Time Entry'!D$13)</f>
        <v>US Logistics - Fuel Sourcing</v>
      </c>
      <c r="H25" s="83" t="str">
        <f>IF('Time Entry'!E$13="","",'Time Entry'!E$13)</f>
        <v>USL-002-CB</v>
      </c>
      <c r="I25" s="83" t="str">
        <f>IF('Time Entry'!$L$13="","",'Time Entry'!$L$13)</f>
        <v/>
      </c>
      <c r="J25" s="83" t="str">
        <f>IF('Time Entry'!$F$13="","",'Time Entry'!$F$13)</f>
        <v/>
      </c>
      <c r="K25" s="77" t="str">
        <f>IF(I25="","",(IF(AND(WEEKDAY(D25)&gt;1,WEEKDAY(D25)&lt;7),(IF(I25="","",(IF(I25&gt;8,8,I25)))),0)))</f>
        <v/>
      </c>
      <c r="L25" s="88" t="str">
        <f t="shared" si="0"/>
        <v/>
      </c>
      <c r="M25" s="91" t="str">
        <f t="shared" si="1"/>
        <v/>
      </c>
      <c r="N25" s="92" t="str">
        <f t="shared" si="2"/>
        <v/>
      </c>
    </row>
    <row r="26" spans="1:14" ht="14.5">
      <c r="A26" s="76" t="str">
        <f>IF('Time Entry'!$D$7="","",'Time Entry'!$D$7)</f>
        <v>Steed Clark</v>
      </c>
      <c r="B26" s="77">
        <f>IF('Time Entry'!$F$7="","",'Time Entry'!$F$7)</f>
        <v>35</v>
      </c>
      <c r="C26" s="78">
        <f>IF('Time Entry'!$E$7="","",'Time Entry'!$E$7)</f>
        <v>44793</v>
      </c>
      <c r="D26" s="78">
        <f>IF('Time Entry'!$M$10="","",'Time Entry'!$M$10)</f>
        <v>44799</v>
      </c>
      <c r="E26" s="83" t="str">
        <f>IF('Time Entry'!$B$14="","",'Time Entry'!$B$14)</f>
        <v/>
      </c>
      <c r="F26" s="83" t="str">
        <f>IF('Time Entry'!C$14="","",'Time Entry'!C$14)</f>
        <v>CB</v>
      </c>
      <c r="G26" s="83" t="str">
        <f>IF('Time Entry'!D$14="","",'Time Entry'!D$14)</f>
        <v/>
      </c>
      <c r="H26" s="83" t="str">
        <f>IF('Time Entry'!E$14="","",'Time Entry'!E$14)</f>
        <v/>
      </c>
      <c r="I26" s="83" t="str">
        <f>IF('Time Entry'!$M$14="","",'Time Entry'!$M$14)</f>
        <v/>
      </c>
      <c r="J26" s="83" t="str">
        <f>IF('Time Entry'!$F$14="","",'Time Entry'!$F$14)</f>
        <v/>
      </c>
      <c r="K26" s="77" t="str">
        <f>IF(I26="","",(IF(AND(WEEKDAY(D26)&gt;1,WEEKDAY(D26)&lt;7),(IF(I26="","",(IF(I26&gt;8,8,I26)))),0)))</f>
        <v/>
      </c>
      <c r="L26" s="88" t="str">
        <f t="shared" si="0"/>
        <v/>
      </c>
      <c r="M26" s="91" t="str">
        <f t="shared" si="1"/>
        <v/>
      </c>
      <c r="N26" s="92" t="str">
        <f t="shared" si="2"/>
        <v/>
      </c>
    </row>
    <row r="27" spans="1:14" ht="14.5">
      <c r="A27" s="76" t="str">
        <f>IF('Time Entry'!$D$7="","",'Time Entry'!$D$7)</f>
        <v>Steed Clark</v>
      </c>
      <c r="B27" s="77">
        <f>IF('Time Entry'!$F$7="","",'Time Entry'!$F$7)</f>
        <v>35</v>
      </c>
      <c r="C27" s="78">
        <f>IF('Time Entry'!$E$7="","",'Time Entry'!$E$7)</f>
        <v>44793</v>
      </c>
      <c r="D27" s="78">
        <f>IF('Time Entry'!$K$10="","",'Time Entry'!$K$10)</f>
        <v>44797</v>
      </c>
      <c r="E27" s="83" t="str">
        <f>IF('Time Entry'!$B$14="","",'Time Entry'!$B$14)</f>
        <v/>
      </c>
      <c r="F27" s="83" t="str">
        <f>IF('Time Entry'!C$14="","",'Time Entry'!C$14)</f>
        <v>CB</v>
      </c>
      <c r="G27" s="83" t="str">
        <f>IF('Time Entry'!D$14="","",'Time Entry'!D$14)</f>
        <v/>
      </c>
      <c r="H27" s="83" t="str">
        <f>IF('Time Entry'!E$14="","",'Time Entry'!E$14)</f>
        <v/>
      </c>
      <c r="I27" s="83" t="str">
        <f>IF('Time Entry'!$K$14="","",'Time Entry'!$K$14)</f>
        <v/>
      </c>
      <c r="J27" s="83" t="str">
        <f>IF('Time Entry'!$F$14="","",'Time Entry'!$F$14)</f>
        <v/>
      </c>
      <c r="K27" s="77" t="str">
        <f>IF(I27="","",(IF(AND(WEEKDAY(D27)&gt;1,WEEKDAY(D27)&lt;7),(IF(I27="","",(IF(I27&gt;8,8,I27)))),0)))</f>
        <v/>
      </c>
      <c r="L27" s="88" t="str">
        <f t="shared" si="0"/>
        <v/>
      </c>
      <c r="M27" s="91" t="str">
        <f t="shared" si="1"/>
        <v/>
      </c>
      <c r="N27" s="92" t="str">
        <f t="shared" si="2"/>
        <v/>
      </c>
    </row>
    <row r="28" spans="1:14" ht="14.5">
      <c r="A28" s="76" t="str">
        <f>IF('Time Entry'!$D$7="","",'Time Entry'!$D$7)</f>
        <v>Steed Clark</v>
      </c>
      <c r="B28" s="77">
        <f>IF('Time Entry'!$F$7="","",'Time Entry'!$F$7)</f>
        <v>35</v>
      </c>
      <c r="C28" s="78">
        <f>IF('Time Entry'!$E$7="","",'Time Entry'!$E$7)</f>
        <v>44793</v>
      </c>
      <c r="D28" s="78">
        <f>IF('Time Entry'!$H$10="","",'Time Entry'!$H$10)</f>
        <v>44794</v>
      </c>
      <c r="E28" s="83" t="str">
        <f>IF('Time Entry'!$B$11="","",'Time Entry'!$B$11)</f>
        <v/>
      </c>
      <c r="F28" s="83" t="str">
        <f>IF('Time Entry'!C$11="","",'Time Entry'!C$11)</f>
        <v>LD</v>
      </c>
      <c r="G28" s="83" t="str">
        <f>IF('Time Entry'!D$11="","",'Time Entry'!D$11)</f>
        <v>Jaggaer Build</v>
      </c>
      <c r="H28" s="83" t="str">
        <f>IF('Time Entry'!E$11="","",'Time Entry'!E$11)</f>
        <v>COE-017-LD</v>
      </c>
      <c r="I28" s="83" t="str">
        <f>IF('Time Entry'!$H$11="","",'Time Entry'!$H$11)</f>
        <v/>
      </c>
      <c r="J28" s="83" t="str">
        <f>IF('Time Entry'!$F$11="","",'Time Entry'!$F$11)</f>
        <v>training and cost model</v>
      </c>
      <c r="K28" s="77" t="str">
        <f>IF(I28="","",(IF(AND(WEEKDAY(D28)&gt;1,WEEKDAY(D28)&lt;7),(IF(I28="","",(IF(I28&gt;8,8,I28)))),0)))</f>
        <v/>
      </c>
      <c r="L28" s="88" t="str">
        <f t="shared" si="0"/>
        <v/>
      </c>
      <c r="M28" s="91" t="str">
        <f t="shared" si="1"/>
        <v/>
      </c>
      <c r="N28" s="92" t="str">
        <f t="shared" si="2"/>
        <v/>
      </c>
    </row>
    <row r="29" spans="1:14" ht="14.5">
      <c r="A29" s="76" t="str">
        <f>IF('Time Entry'!$D$7="","",'Time Entry'!$D$7)</f>
        <v>Steed Clark</v>
      </c>
      <c r="B29" s="77">
        <f>IF('Time Entry'!$F$7="","",'Time Entry'!$F$7)</f>
        <v>35</v>
      </c>
      <c r="C29" s="78">
        <f>IF('Time Entry'!$E$7="","",'Time Entry'!$E$7)</f>
        <v>44793</v>
      </c>
      <c r="D29" s="78">
        <f>IF('Time Entry'!$G$10="","",'Time Entry'!$G$10)</f>
        <v>44793</v>
      </c>
      <c r="E29" s="83" t="str">
        <f>'Time Entry'!$C$32</f>
        <v>LCOE - PTO - Holiday</v>
      </c>
      <c r="F29" s="83" t="s">
        <v>45</v>
      </c>
      <c r="G29" s="83" t="str">
        <f>'Time Entry'!$C$32</f>
        <v>LCOE - PTO - Holiday</v>
      </c>
      <c r="H29" s="83" t="str">
        <f>'Time Entry'!$E$32</f>
        <v>COE-002-PTO</v>
      </c>
      <c r="I29" s="83" t="str">
        <f>IF('Time Entry'!$G$32="","",'Time Entry'!$G$32)</f>
        <v/>
      </c>
      <c r="J29" s="83" t="str">
        <f>IF('Time Entry'!$F$32="","",'Time Entry'!$F$32)</f>
        <v/>
      </c>
      <c r="K29" s="77" t="str">
        <f>IF(I29="","",(IF(AND(WEEKDAY(D29)&gt;1,WEEKDAY(D29)&lt;7),(IF(I29="","",(IF(I29&gt;8,8,I29)))),0)))</f>
        <v/>
      </c>
      <c r="L29" s="88" t="str">
        <f t="shared" si="0"/>
        <v/>
      </c>
      <c r="M29" s="91" t="str">
        <f t="shared" si="1"/>
        <v/>
      </c>
      <c r="N29" s="92" t="str">
        <f t="shared" si="2"/>
        <v/>
      </c>
    </row>
    <row r="30" spans="1:14" ht="14.5">
      <c r="A30" s="76" t="str">
        <f>IF('Time Entry'!$D$7="","",'Time Entry'!$D$7)</f>
        <v>Steed Clark</v>
      </c>
      <c r="B30" s="77">
        <f>IF('Time Entry'!$F$7="","",'Time Entry'!$F$7)</f>
        <v>35</v>
      </c>
      <c r="C30" s="78">
        <f>IF('Time Entry'!$E$7="","",'Time Entry'!$E$7)</f>
        <v>44793</v>
      </c>
      <c r="D30" s="78">
        <f>IF('Time Entry'!$G$10="","",'Time Entry'!$G$10)</f>
        <v>44793</v>
      </c>
      <c r="E30" s="83" t="str">
        <f>IF('Time Entry'!$B$12="","",'Time Entry'!$B$12)</f>
        <v/>
      </c>
      <c r="F30" s="83" t="str">
        <f>IF('Time Entry'!C$12="","",'Time Entry'!C$12)</f>
        <v>CB</v>
      </c>
      <c r="G30" s="83" t="str">
        <f>IF('Time Entry'!D$12="","",'Time Entry'!D$12)</f>
        <v>US Logistics - FP&amp;A</v>
      </c>
      <c r="H30" s="83" t="str">
        <f>IF('Time Entry'!E$12="","",'Time Entry'!E$12)</f>
        <v>USL-001-CB</v>
      </c>
      <c r="I30" s="83" t="str">
        <f>IF('Time Entry'!$G$12="","",'Time Entry'!$G$12)</f>
        <v/>
      </c>
      <c r="J30" s="83" t="str">
        <f>IF('Time Entry'!$F$12="","",'Time Entry'!$F$12)</f>
        <v/>
      </c>
      <c r="K30" s="77" t="str">
        <f>IF(I30="","",(IF(AND(WEEKDAY(D30)&gt;1,WEEKDAY(D30)&lt;7),(IF(I30="","",(IF(I30&gt;8,8,I30)))),0)))</f>
        <v/>
      </c>
      <c r="L30" s="88" t="str">
        <f t="shared" si="0"/>
        <v/>
      </c>
      <c r="M30" s="91" t="str">
        <f t="shared" si="1"/>
        <v/>
      </c>
      <c r="N30" s="92" t="str">
        <f t="shared" si="2"/>
        <v/>
      </c>
    </row>
    <row r="31" spans="1:14" ht="14.5">
      <c r="A31" s="76" t="str">
        <f>IF('Time Entry'!$D$7="","",'Time Entry'!$D$7)</f>
        <v>Steed Clark</v>
      </c>
      <c r="B31" s="77">
        <f>IF('Time Entry'!$F$7="","",'Time Entry'!$F$7)</f>
        <v>35</v>
      </c>
      <c r="C31" s="78">
        <f>IF('Time Entry'!$E$7="","",'Time Entry'!$E$7)</f>
        <v>44793</v>
      </c>
      <c r="D31" s="78">
        <f>IF('Time Entry'!$G$10="","",'Time Entry'!$G$10)</f>
        <v>44793</v>
      </c>
      <c r="E31" s="83" t="str">
        <f>IF('Time Entry'!$B$13="","",'Time Entry'!$B$13)</f>
        <v/>
      </c>
      <c r="F31" s="83" t="str">
        <f>IF('Time Entry'!C$13="","",'Time Entry'!C$13)</f>
        <v>CB</v>
      </c>
      <c r="G31" s="83" t="str">
        <f>IF('Time Entry'!D$13="","",'Time Entry'!D$13)</f>
        <v>US Logistics - Fuel Sourcing</v>
      </c>
      <c r="H31" s="83" t="str">
        <f>IF('Time Entry'!E$13="","",'Time Entry'!E$13)</f>
        <v>USL-002-CB</v>
      </c>
      <c r="I31" s="83" t="str">
        <f>IF('Time Entry'!$G$13="","",'Time Entry'!$G$13)</f>
        <v/>
      </c>
      <c r="J31" s="83" t="str">
        <f>IF('Time Entry'!$F$13="","",'Time Entry'!$F$13)</f>
        <v/>
      </c>
      <c r="K31" s="77" t="str">
        <f>IF(I31="","",(IF(AND(WEEKDAY(D31)&gt;1,WEEKDAY(D31)&lt;7),(IF(I31="","",(IF(I31&gt;8,8,I31)))),0)))</f>
        <v/>
      </c>
      <c r="L31" s="88" t="str">
        <f t="shared" si="0"/>
        <v/>
      </c>
      <c r="M31" s="91" t="str">
        <f t="shared" si="1"/>
        <v/>
      </c>
      <c r="N31" s="92" t="str">
        <f t="shared" si="2"/>
        <v/>
      </c>
    </row>
    <row r="32" spans="1:14" ht="14.5">
      <c r="A32" s="76" t="str">
        <f>IF('Time Entry'!$D$7="","",'Time Entry'!$D$7)</f>
        <v>Steed Clark</v>
      </c>
      <c r="B32" s="77">
        <f>IF('Time Entry'!$F$7="","",'Time Entry'!$F$7)</f>
        <v>35</v>
      </c>
      <c r="C32" s="78">
        <f>IF('Time Entry'!$E$7="","",'Time Entry'!$E$7)</f>
        <v>44793</v>
      </c>
      <c r="D32" s="78">
        <f>IF('Time Entry'!$H$10="","",'Time Entry'!$H$10)</f>
        <v>44794</v>
      </c>
      <c r="E32" s="83" t="str">
        <f>IF('Time Entry'!$B$13="","",'Time Entry'!$B$13)</f>
        <v/>
      </c>
      <c r="F32" s="83" t="str">
        <f>IF('Time Entry'!C$13="","",'Time Entry'!C$13)</f>
        <v>CB</v>
      </c>
      <c r="G32" s="83" t="str">
        <f>IF('Time Entry'!D$13="","",'Time Entry'!D$13)</f>
        <v>US Logistics - Fuel Sourcing</v>
      </c>
      <c r="H32" s="83" t="str">
        <f>IF('Time Entry'!E$13="","",'Time Entry'!E$13)</f>
        <v>USL-002-CB</v>
      </c>
      <c r="I32" s="83" t="str">
        <f>IF('Time Entry'!$H$13="","",'Time Entry'!$H$13)</f>
        <v/>
      </c>
      <c r="J32" s="83" t="str">
        <f>IF('Time Entry'!$F$13="","",'Time Entry'!$F$13)</f>
        <v/>
      </c>
      <c r="K32" s="77" t="str">
        <f>IF(I32="","",(IF(AND(WEEKDAY(D32)&gt;1,WEEKDAY(D32)&lt;7),(IF(I32="","",(IF(I32&gt;8,8,I32)))),0)))</f>
        <v/>
      </c>
      <c r="L32" s="88" t="str">
        <f t="shared" si="0"/>
        <v/>
      </c>
      <c r="M32" s="91" t="str">
        <f t="shared" si="1"/>
        <v/>
      </c>
      <c r="N32" s="92" t="str">
        <f t="shared" si="2"/>
        <v/>
      </c>
    </row>
    <row r="33" spans="1:14" ht="14.5">
      <c r="A33" s="76" t="str">
        <f>IF('Time Entry'!$D$7="","",'Time Entry'!$D$7)</f>
        <v>Steed Clark</v>
      </c>
      <c r="B33" s="77">
        <f>IF('Time Entry'!$F$7="","",'Time Entry'!$F$7)</f>
        <v>35</v>
      </c>
      <c r="C33" s="78">
        <f>IF('Time Entry'!$E$7="","",'Time Entry'!$E$7)</f>
        <v>44793</v>
      </c>
      <c r="D33" s="78">
        <f>IF('Time Entry'!$G$10="","",'Time Entry'!$G$10)</f>
        <v>44793</v>
      </c>
      <c r="E33" s="83" t="str">
        <f>IF('Time Entry'!$B$14="","",'Time Entry'!$B$14)</f>
        <v/>
      </c>
      <c r="F33" s="83" t="str">
        <f>IF('Time Entry'!C$14="","",'Time Entry'!C$14)</f>
        <v>CB</v>
      </c>
      <c r="G33" s="83" t="str">
        <f>IF('Time Entry'!D$14="","",'Time Entry'!D$14)</f>
        <v/>
      </c>
      <c r="H33" s="83" t="str">
        <f>IF('Time Entry'!E$14="","",'Time Entry'!E$14)</f>
        <v/>
      </c>
      <c r="I33" s="83" t="str">
        <f>IF('Time Entry'!$G$14="","",'Time Entry'!$G$14)</f>
        <v/>
      </c>
      <c r="J33" s="83" t="str">
        <f>IF('Time Entry'!$F$14="","",'Time Entry'!$F$14)</f>
        <v/>
      </c>
      <c r="K33" s="77" t="str">
        <f>IF(I33="","",(IF(AND(WEEKDAY(D33)&gt;1,WEEKDAY(D33)&lt;7),(IF(I33="","",(IF(I33&gt;8,8,I33)))),0)))</f>
        <v/>
      </c>
      <c r="L33" s="88" t="str">
        <f t="shared" si="0"/>
        <v/>
      </c>
      <c r="M33" s="91" t="str">
        <f t="shared" si="1"/>
        <v/>
      </c>
      <c r="N33" s="92" t="str">
        <f t="shared" si="2"/>
        <v/>
      </c>
    </row>
    <row r="34" spans="1:14" ht="14.5">
      <c r="A34" s="76" t="str">
        <f>IF('Time Entry'!$D$7="","",'Time Entry'!$D$7)</f>
        <v>Steed Clark</v>
      </c>
      <c r="B34" s="77">
        <f>IF('Time Entry'!$F$7="","",'Time Entry'!$F$7)</f>
        <v>35</v>
      </c>
      <c r="C34" s="78">
        <f>IF('Time Entry'!$E$7="","",'Time Entry'!$E$7)</f>
        <v>44793</v>
      </c>
      <c r="D34" s="78">
        <f>IF('Time Entry'!$H$10="","",'Time Entry'!$H$10)</f>
        <v>44794</v>
      </c>
      <c r="E34" s="83" t="str">
        <f>IF('Time Entry'!$B$14="","",'Time Entry'!$B$14)</f>
        <v/>
      </c>
      <c r="F34" s="83" t="str">
        <f>IF('Time Entry'!C$14="","",'Time Entry'!C$14)</f>
        <v>CB</v>
      </c>
      <c r="G34" s="83" t="str">
        <f>IF('Time Entry'!D$14="","",'Time Entry'!D$14)</f>
        <v/>
      </c>
      <c r="H34" s="83" t="str">
        <f>IF('Time Entry'!E$14="","",'Time Entry'!E$14)</f>
        <v/>
      </c>
      <c r="I34" s="83" t="str">
        <f>IF('Time Entry'!$H$14="","",'Time Entry'!$H$14)</f>
        <v/>
      </c>
      <c r="J34" s="83" t="str">
        <f>IF('Time Entry'!$F$14="","",'Time Entry'!$F$14)</f>
        <v/>
      </c>
      <c r="K34" s="77" t="str">
        <f>IF(I34="","",(IF(AND(WEEKDAY(D34)&gt;1,WEEKDAY(D34)&lt;7),(IF(I34="","",(IF(I34&gt;8,8,I34)))),0)))</f>
        <v/>
      </c>
      <c r="L34" s="88" t="str">
        <f t="shared" ref="L34:L65" si="3">IF(K34="","",(IF(AND(WEEKDAY(D34)&gt;1,WEEKDAY(D34)&lt;7),K34/8,0)))</f>
        <v/>
      </c>
      <c r="M34" s="91" t="str">
        <f t="shared" ref="M34:M65" si="4">IF(I34="","",(IF(K34=0,0,(K34/SUMIF($D$2:$D$155,D34,$K$2:$K$155)))*8))</f>
        <v/>
      </c>
      <c r="N34" s="92" t="str">
        <f t="shared" si="2"/>
        <v/>
      </c>
    </row>
    <row r="35" spans="1:14" ht="14.5">
      <c r="A35" s="76" t="str">
        <f>IF('Time Entry'!$D$7="","",'Time Entry'!$D$7)</f>
        <v>Steed Clark</v>
      </c>
      <c r="B35" s="77">
        <f>IF('Time Entry'!$F$7="","",'Time Entry'!$F$7)</f>
        <v>35</v>
      </c>
      <c r="C35" s="78">
        <f>IF('Time Entry'!$E$7="","",'Time Entry'!$E$7)</f>
        <v>44793</v>
      </c>
      <c r="D35" s="78">
        <f>IF('Time Entry'!$J$10="","",'Time Entry'!$J$10)</f>
        <v>44796</v>
      </c>
      <c r="E35" s="83" t="str">
        <f>IF('Time Entry'!$B$14="","",'Time Entry'!$B$14)</f>
        <v/>
      </c>
      <c r="F35" s="83" t="str">
        <f>IF('Time Entry'!C$14="","",'Time Entry'!C$14)</f>
        <v>CB</v>
      </c>
      <c r="G35" s="83" t="str">
        <f>IF('Time Entry'!D$14="","",'Time Entry'!D$14)</f>
        <v/>
      </c>
      <c r="H35" s="83" t="str">
        <f>IF('Time Entry'!E$14="","",'Time Entry'!E$14)</f>
        <v/>
      </c>
      <c r="I35" s="83" t="str">
        <f>IF('Time Entry'!$J$14="","",'Time Entry'!$J$14)</f>
        <v/>
      </c>
      <c r="J35" s="83" t="str">
        <f>IF('Time Entry'!$F$14="","",'Time Entry'!$F$14)</f>
        <v/>
      </c>
      <c r="K35" s="77" t="str">
        <f>IF(I35="","",(IF(AND(WEEKDAY(D35)&gt;1,WEEKDAY(D35)&lt;7),(IF(I35="","",(IF(I35&gt;8,8,I35)))),0)))</f>
        <v/>
      </c>
      <c r="L35" s="88" t="str">
        <f t="shared" si="3"/>
        <v/>
      </c>
      <c r="M35" s="91" t="str">
        <f t="shared" si="4"/>
        <v/>
      </c>
      <c r="N35" s="92" t="str">
        <f t="shared" si="2"/>
        <v/>
      </c>
    </row>
    <row r="36" spans="1:14" ht="14.5">
      <c r="A36" s="76" t="str">
        <f>IF('Time Entry'!$D$7="","",'Time Entry'!$D$7)</f>
        <v>Steed Clark</v>
      </c>
      <c r="B36" s="77">
        <f>IF('Time Entry'!$F$7="","",'Time Entry'!$F$7)</f>
        <v>35</v>
      </c>
      <c r="C36" s="78">
        <f>IF('Time Entry'!$E$7="","",'Time Entry'!$E$7)</f>
        <v>44793</v>
      </c>
      <c r="D36" s="78">
        <f>IF('Time Entry'!$G$10="","",'Time Entry'!$G$10)</f>
        <v>44793</v>
      </c>
      <c r="E36" s="83" t="str">
        <f>IF('Time Entry'!$B$15="","",'Time Entry'!$B$15)</f>
        <v/>
      </c>
      <c r="F36" s="83" t="str">
        <f>IF('Time Entry'!C$15="","",'Time Entry'!C$15)</f>
        <v/>
      </c>
      <c r="G36" s="83" t="str">
        <f>IF('Time Entry'!D$15="","",'Time Entry'!D$15)</f>
        <v/>
      </c>
      <c r="H36" s="83" t="str">
        <f>IF('Time Entry'!E$15="","",'Time Entry'!E$15)</f>
        <v/>
      </c>
      <c r="I36" s="83" t="str">
        <f>IF('Time Entry'!$G$15="","",'Time Entry'!$G$15)</f>
        <v/>
      </c>
      <c r="J36" s="83" t="str">
        <f>IF('Time Entry'!$F$15="","",'Time Entry'!$F$15)</f>
        <v/>
      </c>
      <c r="K36" s="77" t="str">
        <f>IF(I36="","",(IF(AND(WEEKDAY(D36)&gt;1,WEEKDAY(D36)&lt;7),(IF(I36="","",(IF(I36&gt;8,8,I36)))),0)))</f>
        <v/>
      </c>
      <c r="L36" s="88" t="str">
        <f t="shared" si="3"/>
        <v/>
      </c>
      <c r="M36" s="91" t="str">
        <f t="shared" si="4"/>
        <v/>
      </c>
      <c r="N36" s="92" t="str">
        <f t="shared" si="2"/>
        <v/>
      </c>
    </row>
    <row r="37" spans="1:14" ht="14.5">
      <c r="A37" s="76" t="str">
        <f>IF('Time Entry'!$D$7="","",'Time Entry'!$D$7)</f>
        <v>Steed Clark</v>
      </c>
      <c r="B37" s="77">
        <f>IF('Time Entry'!$F$7="","",'Time Entry'!$F$7)</f>
        <v>35</v>
      </c>
      <c r="C37" s="78">
        <f>IF('Time Entry'!$E$7="","",'Time Entry'!$E$7)</f>
        <v>44793</v>
      </c>
      <c r="D37" s="78">
        <f>IF('Time Entry'!$H$10="","",'Time Entry'!$H$10)</f>
        <v>44794</v>
      </c>
      <c r="E37" s="83" t="str">
        <f>IF('Time Entry'!$B$15="","",'Time Entry'!$B$15)</f>
        <v/>
      </c>
      <c r="F37" s="83" t="str">
        <f>IF('Time Entry'!C$15="","",'Time Entry'!C$15)</f>
        <v/>
      </c>
      <c r="G37" s="83" t="str">
        <f>IF('Time Entry'!D$15="","",'Time Entry'!D$15)</f>
        <v/>
      </c>
      <c r="H37" s="83" t="str">
        <f>IF('Time Entry'!E$15="","",'Time Entry'!E$15)</f>
        <v/>
      </c>
      <c r="I37" s="83" t="str">
        <f>IF('Time Entry'!$H$15="","",'Time Entry'!$H$15)</f>
        <v/>
      </c>
      <c r="J37" s="83" t="str">
        <f>IF('Time Entry'!$F$15="","",'Time Entry'!$F$15)</f>
        <v/>
      </c>
      <c r="K37" s="77" t="str">
        <f>IF(I37="","",(IF(AND(WEEKDAY(D37)&gt;1,WEEKDAY(D37)&lt;7),(IF(I37="","",(IF(I37&gt;8,8,I37)))),0)))</f>
        <v/>
      </c>
      <c r="L37" s="88" t="str">
        <f t="shared" si="3"/>
        <v/>
      </c>
      <c r="M37" s="91" t="str">
        <f t="shared" si="4"/>
        <v/>
      </c>
      <c r="N37" s="92" t="str">
        <f t="shared" si="2"/>
        <v/>
      </c>
    </row>
    <row r="38" spans="1:14" ht="14.5">
      <c r="A38" s="76" t="str">
        <f>IF('Time Entry'!$D$7="","",'Time Entry'!$D$7)</f>
        <v>Steed Clark</v>
      </c>
      <c r="B38" s="77">
        <f>IF('Time Entry'!$F$7="","",'Time Entry'!$F$7)</f>
        <v>35</v>
      </c>
      <c r="C38" s="78">
        <f>IF('Time Entry'!$E$7="","",'Time Entry'!$E$7)</f>
        <v>44793</v>
      </c>
      <c r="D38" s="78">
        <f>IF('Time Entry'!$I$10="","",'Time Entry'!$I$10)</f>
        <v>44795</v>
      </c>
      <c r="E38" s="83" t="str">
        <f>IF('Time Entry'!$B$15="","",'Time Entry'!$B$15)</f>
        <v/>
      </c>
      <c r="F38" s="83" t="str">
        <f>IF('Time Entry'!C$15="","",'Time Entry'!C$15)</f>
        <v/>
      </c>
      <c r="G38" s="83" t="str">
        <f>IF('Time Entry'!D$15="","",'Time Entry'!D$15)</f>
        <v/>
      </c>
      <c r="H38" s="83" t="str">
        <f>IF('Time Entry'!E$15="","",'Time Entry'!E$15)</f>
        <v/>
      </c>
      <c r="I38" s="83" t="str">
        <f>IF('Time Entry'!$I$15="","",'Time Entry'!$I$15)</f>
        <v/>
      </c>
      <c r="J38" s="83" t="str">
        <f>IF('Time Entry'!$F$15="","",'Time Entry'!$F$15)</f>
        <v/>
      </c>
      <c r="K38" s="77" t="str">
        <f>IF(I38="","",(IF(AND(WEEKDAY(D38)&gt;1,WEEKDAY(D38)&lt;7),(IF(I38="","",(IF(I38&gt;8,8,I38)))),0)))</f>
        <v/>
      </c>
      <c r="L38" s="88" t="str">
        <f t="shared" si="3"/>
        <v/>
      </c>
      <c r="M38" s="91" t="str">
        <f t="shared" si="4"/>
        <v/>
      </c>
      <c r="N38" s="92" t="str">
        <f t="shared" si="2"/>
        <v/>
      </c>
    </row>
    <row r="39" spans="1:14" ht="14.5">
      <c r="A39" s="76" t="str">
        <f>IF('Time Entry'!$D$7="","",'Time Entry'!$D$7)</f>
        <v>Steed Clark</v>
      </c>
      <c r="B39" s="77">
        <f>IF('Time Entry'!$F$7="","",'Time Entry'!$F$7)</f>
        <v>35</v>
      </c>
      <c r="C39" s="78">
        <f>IF('Time Entry'!$E$7="","",'Time Entry'!$E$7)</f>
        <v>44793</v>
      </c>
      <c r="D39" s="78">
        <f>IF('Time Entry'!$M$10="","",'Time Entry'!$M$10)</f>
        <v>44799</v>
      </c>
      <c r="E39" s="83" t="str">
        <f>IF('Time Entry'!$B$15="","",'Time Entry'!$B$15)</f>
        <v/>
      </c>
      <c r="F39" s="83" t="str">
        <f>IF('Time Entry'!C$15="","",'Time Entry'!C$15)</f>
        <v/>
      </c>
      <c r="G39" s="83" t="str">
        <f>IF('Time Entry'!D$15="","",'Time Entry'!D$15)</f>
        <v/>
      </c>
      <c r="H39" s="83" t="str">
        <f>IF('Time Entry'!E$15="","",'Time Entry'!E$15)</f>
        <v/>
      </c>
      <c r="I39" s="83" t="str">
        <f>IF('Time Entry'!$M$15="","",'Time Entry'!$M$15)</f>
        <v/>
      </c>
      <c r="J39" s="83" t="str">
        <f>IF('Time Entry'!$F$15="","",'Time Entry'!$F$15)</f>
        <v/>
      </c>
      <c r="K39" s="77" t="str">
        <f>IF(I39="","",(IF(AND(WEEKDAY(D39)&gt;1,WEEKDAY(D39)&lt;7),(IF(I39="","",(IF(I39&gt;8,8,I39)))),0)))</f>
        <v/>
      </c>
      <c r="L39" s="88" t="str">
        <f t="shared" si="3"/>
        <v/>
      </c>
      <c r="M39" s="91" t="str">
        <f t="shared" si="4"/>
        <v/>
      </c>
      <c r="N39" s="92" t="str">
        <f t="shared" si="2"/>
        <v/>
      </c>
    </row>
    <row r="40" spans="1:14" ht="14.5">
      <c r="A40" s="76" t="str">
        <f>IF('Time Entry'!$D$7="","",'Time Entry'!$D$7)</f>
        <v>Steed Clark</v>
      </c>
      <c r="B40" s="77">
        <f>IF('Time Entry'!$F$7="","",'Time Entry'!$F$7)</f>
        <v>35</v>
      </c>
      <c r="C40" s="78">
        <f>IF('Time Entry'!$E$7="","",'Time Entry'!$E$7)</f>
        <v>44793</v>
      </c>
      <c r="D40" s="78">
        <f>IF('Time Entry'!$G$10="","",'Time Entry'!$G$10)</f>
        <v>44793</v>
      </c>
      <c r="E40" s="83">
        <f>IF('Time Entry'!$B$16="","",'Time Entry'!$B$16)</f>
        <v>1</v>
      </c>
      <c r="F40" s="83" t="str">
        <f>IF('Time Entry'!C$16="","",'Time Entry'!C$16)</f>
        <v/>
      </c>
      <c r="G40" s="83" t="str">
        <f>IF('Time Entry'!D$16="","",'Time Entry'!D$16)</f>
        <v/>
      </c>
      <c r="H40" s="83" t="str">
        <f>IF('Time Entry'!E$16="","",'Time Entry'!E$16)</f>
        <v/>
      </c>
      <c r="I40" s="83" t="str">
        <f>IF('Time Entry'!$G$16="","",'Time Entry'!$G$16)</f>
        <v/>
      </c>
      <c r="J40" s="83" t="str">
        <f>IF('Time Entry'!$F$16="","",'Time Entry'!$F$16)</f>
        <v/>
      </c>
      <c r="K40" s="77" t="str">
        <f>IF(I40="","",(IF(AND(WEEKDAY(D40)&gt;1,WEEKDAY(D40)&lt;7),(IF(I40="","",(IF(I40&gt;8,8,I40)))),0)))</f>
        <v/>
      </c>
      <c r="L40" s="88" t="str">
        <f t="shared" si="3"/>
        <v/>
      </c>
      <c r="M40" s="91" t="str">
        <f t="shared" si="4"/>
        <v/>
      </c>
      <c r="N40" s="92" t="str">
        <f t="shared" si="2"/>
        <v/>
      </c>
    </row>
    <row r="41" spans="1:14" ht="14.5">
      <c r="A41" s="76" t="str">
        <f>IF('Time Entry'!$D$7="","",'Time Entry'!$D$7)</f>
        <v>Steed Clark</v>
      </c>
      <c r="B41" s="77">
        <f>IF('Time Entry'!$F$7="","",'Time Entry'!$F$7)</f>
        <v>35</v>
      </c>
      <c r="C41" s="78">
        <f>IF('Time Entry'!$E$7="","",'Time Entry'!$E$7)</f>
        <v>44793</v>
      </c>
      <c r="D41" s="78">
        <f>IF('Time Entry'!$H$10="","",'Time Entry'!$H$10)</f>
        <v>44794</v>
      </c>
      <c r="E41" s="83">
        <f>IF('Time Entry'!$B$16="","",'Time Entry'!$B$16)</f>
        <v>1</v>
      </c>
      <c r="F41" s="83" t="str">
        <f>IF('Time Entry'!C$16="","",'Time Entry'!C$16)</f>
        <v/>
      </c>
      <c r="G41" s="83" t="str">
        <f>IF('Time Entry'!D$16="","",'Time Entry'!D$16)</f>
        <v/>
      </c>
      <c r="H41" s="83" t="str">
        <f>IF('Time Entry'!E$16="","",'Time Entry'!E$16)</f>
        <v/>
      </c>
      <c r="I41" s="83" t="str">
        <f>IF('Time Entry'!$H$16="","",'Time Entry'!$H$16)</f>
        <v/>
      </c>
      <c r="J41" s="83" t="str">
        <f>IF('Time Entry'!$F$16="","",'Time Entry'!$F$16)</f>
        <v/>
      </c>
      <c r="K41" s="77" t="str">
        <f>IF(I41="","",(IF(AND(WEEKDAY(D41)&gt;1,WEEKDAY(D41)&lt;7),(IF(I41="","",(IF(I41&gt;8,8,I41)))),0)))</f>
        <v/>
      </c>
      <c r="L41" s="88" t="str">
        <f t="shared" si="3"/>
        <v/>
      </c>
      <c r="M41" s="91" t="str">
        <f t="shared" si="4"/>
        <v/>
      </c>
      <c r="N41" s="92" t="str">
        <f t="shared" si="2"/>
        <v/>
      </c>
    </row>
    <row r="42" spans="1:14" ht="14.5">
      <c r="A42" s="76" t="str">
        <f>IF('Time Entry'!$D$7="","",'Time Entry'!$D$7)</f>
        <v>Steed Clark</v>
      </c>
      <c r="B42" s="77">
        <f>IF('Time Entry'!$F$7="","",'Time Entry'!$F$7)</f>
        <v>35</v>
      </c>
      <c r="C42" s="78">
        <f>IF('Time Entry'!$E$7="","",'Time Entry'!$E$7)</f>
        <v>44793</v>
      </c>
      <c r="D42" s="78">
        <f>IF('Time Entry'!$I$10="","",'Time Entry'!$I$10)</f>
        <v>44795</v>
      </c>
      <c r="E42" s="83">
        <f>IF('Time Entry'!$B$16="","",'Time Entry'!$B$16)</f>
        <v>1</v>
      </c>
      <c r="F42" s="83" t="str">
        <f>IF('Time Entry'!C$16="","",'Time Entry'!C$16)</f>
        <v/>
      </c>
      <c r="G42" s="83" t="str">
        <f>IF('Time Entry'!D$16="","",'Time Entry'!D$16)</f>
        <v/>
      </c>
      <c r="H42" s="83" t="str">
        <f>IF('Time Entry'!E$16="","",'Time Entry'!E$16)</f>
        <v/>
      </c>
      <c r="I42" s="83" t="str">
        <f>IF('Time Entry'!$I$16="","",'Time Entry'!$I$16)</f>
        <v/>
      </c>
      <c r="J42" s="83" t="str">
        <f>IF('Time Entry'!$F$16="","",'Time Entry'!$F$16)</f>
        <v/>
      </c>
      <c r="K42" s="77" t="str">
        <f>IF(I42="","",(IF(AND(WEEKDAY(D42)&gt;1,WEEKDAY(D42)&lt;7),(IF(I42="","",(IF(I42&gt;8,8,I42)))),0)))</f>
        <v/>
      </c>
      <c r="L42" s="88" t="str">
        <f t="shared" si="3"/>
        <v/>
      </c>
      <c r="M42" s="91" t="str">
        <f t="shared" si="4"/>
        <v/>
      </c>
      <c r="N42" s="92" t="str">
        <f t="shared" si="2"/>
        <v/>
      </c>
    </row>
    <row r="43" spans="1:14" ht="14.5">
      <c r="A43" s="76" t="str">
        <f>IF('Time Entry'!$D$7="","",'Time Entry'!$D$7)</f>
        <v>Steed Clark</v>
      </c>
      <c r="B43" s="77">
        <f>IF('Time Entry'!$F$7="","",'Time Entry'!$F$7)</f>
        <v>35</v>
      </c>
      <c r="C43" s="78">
        <f>IF('Time Entry'!$E$7="","",'Time Entry'!$E$7)</f>
        <v>44793</v>
      </c>
      <c r="D43" s="78">
        <f>IF('Time Entry'!$K$10="","",'Time Entry'!$K$10)</f>
        <v>44797</v>
      </c>
      <c r="E43" s="83">
        <f>IF('Time Entry'!$B$16="","",'Time Entry'!$B$16)</f>
        <v>1</v>
      </c>
      <c r="F43" s="83" t="str">
        <f>IF('Time Entry'!C$16="","",'Time Entry'!C$16)</f>
        <v/>
      </c>
      <c r="G43" s="83" t="str">
        <f>IF('Time Entry'!D$16="","",'Time Entry'!D$16)</f>
        <v/>
      </c>
      <c r="H43" s="83" t="str">
        <f>IF('Time Entry'!E$16="","",'Time Entry'!E$16)</f>
        <v/>
      </c>
      <c r="I43" s="83" t="str">
        <f>IF('Time Entry'!$K$16="","",'Time Entry'!$K$16)</f>
        <v/>
      </c>
      <c r="J43" s="83" t="str">
        <f>IF('Time Entry'!$F$16="","",'Time Entry'!$F$16)</f>
        <v/>
      </c>
      <c r="K43" s="77" t="str">
        <f>IF(I43="","",(IF(AND(WEEKDAY(D43)&gt;1,WEEKDAY(D43)&lt;7),(IF(I43="","",(IF(I43&gt;8,8,I43)))),0)))</f>
        <v/>
      </c>
      <c r="L43" s="88" t="str">
        <f t="shared" si="3"/>
        <v/>
      </c>
      <c r="M43" s="91" t="str">
        <f t="shared" si="4"/>
        <v/>
      </c>
      <c r="N43" s="92" t="str">
        <f t="shared" si="2"/>
        <v/>
      </c>
    </row>
    <row r="44" spans="1:14" ht="14.5">
      <c r="A44" s="76" t="str">
        <f>IF('Time Entry'!$D$7="","",'Time Entry'!$D$7)</f>
        <v>Steed Clark</v>
      </c>
      <c r="B44" s="77">
        <f>IF('Time Entry'!$F$7="","",'Time Entry'!$F$7)</f>
        <v>35</v>
      </c>
      <c r="C44" s="78">
        <f>IF('Time Entry'!$E$7="","",'Time Entry'!$E$7)</f>
        <v>44793</v>
      </c>
      <c r="D44" s="78">
        <f>IF('Time Entry'!$L$10="","",'Time Entry'!$L$10)</f>
        <v>44798</v>
      </c>
      <c r="E44" s="83">
        <f>IF('Time Entry'!$B$16="","",'Time Entry'!$B$16)</f>
        <v>1</v>
      </c>
      <c r="F44" s="83" t="str">
        <f>IF('Time Entry'!C$16="","",'Time Entry'!C$16)</f>
        <v/>
      </c>
      <c r="G44" s="83" t="str">
        <f>IF('Time Entry'!D$16="","",'Time Entry'!D$16)</f>
        <v/>
      </c>
      <c r="H44" s="83" t="str">
        <f>IF('Time Entry'!E$16="","",'Time Entry'!E$16)</f>
        <v/>
      </c>
      <c r="I44" s="83" t="str">
        <f>IF('Time Entry'!$L$16="","",'Time Entry'!$L$16)</f>
        <v/>
      </c>
      <c r="J44" s="83" t="str">
        <f>IF('Time Entry'!$F$16="","",'Time Entry'!$F$16)</f>
        <v/>
      </c>
      <c r="K44" s="77" t="str">
        <f>IF(I44="","",(IF(AND(WEEKDAY(D44)&gt;1,WEEKDAY(D44)&lt;7),(IF(I44="","",(IF(I44&gt;8,8,I44)))),0)))</f>
        <v/>
      </c>
      <c r="L44" s="88" t="str">
        <f t="shared" si="3"/>
        <v/>
      </c>
      <c r="M44" s="91" t="str">
        <f t="shared" si="4"/>
        <v/>
      </c>
      <c r="N44" s="92" t="str">
        <f t="shared" si="2"/>
        <v/>
      </c>
    </row>
    <row r="45" spans="1:14" ht="14.5">
      <c r="A45" s="76" t="str">
        <f>IF('Time Entry'!$D$7="","",'Time Entry'!$D$7)</f>
        <v>Steed Clark</v>
      </c>
      <c r="B45" s="77">
        <f>IF('Time Entry'!$F$7="","",'Time Entry'!$F$7)</f>
        <v>35</v>
      </c>
      <c r="C45" s="78">
        <f>IF('Time Entry'!$E$7="","",'Time Entry'!$E$7)</f>
        <v>44793</v>
      </c>
      <c r="D45" s="78">
        <f>IF('Time Entry'!$G$10="","",'Time Entry'!$G$10)</f>
        <v>44793</v>
      </c>
      <c r="E45" s="83">
        <f>IF('Time Entry'!$B$17="","",'Time Entry'!$B$17)</f>
        <v>2</v>
      </c>
      <c r="F45" s="83" t="str">
        <f>IF('Time Entry'!C$17="","",'Time Entry'!C$17)</f>
        <v/>
      </c>
      <c r="G45" s="83" t="str">
        <f>IF('Time Entry'!D$17="","",'Time Entry'!D$17)</f>
        <v/>
      </c>
      <c r="H45" s="83" t="str">
        <f>IF('Time Entry'!E$17="","",'Time Entry'!E$17)</f>
        <v/>
      </c>
      <c r="I45" s="83" t="str">
        <f>IF('Time Entry'!$G$17="","",'Time Entry'!$G$17)</f>
        <v/>
      </c>
      <c r="J45" s="83" t="str">
        <f>IF('Time Entry'!$F$17="","",'Time Entry'!$F$17)</f>
        <v/>
      </c>
      <c r="K45" s="77" t="str">
        <f>IF(I45="","",(IF(AND(WEEKDAY(D45)&gt;1,WEEKDAY(D45)&lt;7),(IF(I45="","",(IF(I45&gt;8,8,I45)))),0)))</f>
        <v/>
      </c>
      <c r="L45" s="88" t="str">
        <f t="shared" si="3"/>
        <v/>
      </c>
      <c r="M45" s="91" t="str">
        <f t="shared" si="4"/>
        <v/>
      </c>
      <c r="N45" s="92" t="str">
        <f t="shared" si="2"/>
        <v/>
      </c>
    </row>
    <row r="46" spans="1:14" ht="14.5">
      <c r="A46" s="76" t="str">
        <f>IF('Time Entry'!$D$7="","",'Time Entry'!$D$7)</f>
        <v>Steed Clark</v>
      </c>
      <c r="B46" s="77">
        <f>IF('Time Entry'!$F$7="","",'Time Entry'!$F$7)</f>
        <v>35</v>
      </c>
      <c r="C46" s="78">
        <f>IF('Time Entry'!$E$7="","",'Time Entry'!$E$7)</f>
        <v>44793</v>
      </c>
      <c r="D46" s="78">
        <f>IF('Time Entry'!$H$10="","",'Time Entry'!$H$10)</f>
        <v>44794</v>
      </c>
      <c r="E46" s="83">
        <f>IF('Time Entry'!$B$17="","",'Time Entry'!$B$17)</f>
        <v>2</v>
      </c>
      <c r="F46" s="83" t="str">
        <f>IF('Time Entry'!C$17="","",'Time Entry'!C$17)</f>
        <v/>
      </c>
      <c r="G46" s="83" t="str">
        <f>IF('Time Entry'!D$17="","",'Time Entry'!D$17)</f>
        <v/>
      </c>
      <c r="H46" s="83" t="str">
        <f>IF('Time Entry'!E$17="","",'Time Entry'!E$17)</f>
        <v/>
      </c>
      <c r="I46" s="83" t="str">
        <f>IF('Time Entry'!$H$17="","",'Time Entry'!$H$17)</f>
        <v/>
      </c>
      <c r="J46" s="83" t="str">
        <f>IF('Time Entry'!$F$17="","",'Time Entry'!$F$17)</f>
        <v/>
      </c>
      <c r="K46" s="77" t="str">
        <f>IF(I46="","",(IF(AND(WEEKDAY(D46)&gt;1,WEEKDAY(D46)&lt;7),(IF(I46="","",(IF(I46&gt;8,8,I46)))),0)))</f>
        <v/>
      </c>
      <c r="L46" s="88" t="str">
        <f t="shared" si="3"/>
        <v/>
      </c>
      <c r="M46" s="91" t="str">
        <f t="shared" si="4"/>
        <v/>
      </c>
      <c r="N46" s="92" t="str">
        <f t="shared" si="2"/>
        <v/>
      </c>
    </row>
    <row r="47" spans="1:14" ht="14.5">
      <c r="A47" s="76" t="str">
        <f>IF('Time Entry'!$D$7="","",'Time Entry'!$D$7)</f>
        <v>Steed Clark</v>
      </c>
      <c r="B47" s="77">
        <f>IF('Time Entry'!$F$7="","",'Time Entry'!$F$7)</f>
        <v>35</v>
      </c>
      <c r="C47" s="78">
        <f>IF('Time Entry'!$E$7="","",'Time Entry'!$E$7)</f>
        <v>44793</v>
      </c>
      <c r="D47" s="78">
        <f>IF('Time Entry'!$I$10="","",'Time Entry'!$I$10)</f>
        <v>44795</v>
      </c>
      <c r="E47" s="83">
        <f>IF('Time Entry'!$B$17="","",'Time Entry'!$B$17)</f>
        <v>2</v>
      </c>
      <c r="F47" s="83" t="str">
        <f>IF('Time Entry'!C$17="","",'Time Entry'!C$17)</f>
        <v/>
      </c>
      <c r="G47" s="83" t="str">
        <f>IF('Time Entry'!D$17="","",'Time Entry'!D$17)</f>
        <v/>
      </c>
      <c r="H47" s="83" t="str">
        <f>IF('Time Entry'!E$17="","",'Time Entry'!E$17)</f>
        <v/>
      </c>
      <c r="I47" s="83" t="str">
        <f>IF('Time Entry'!$I$17="","",'Time Entry'!$I$17)</f>
        <v/>
      </c>
      <c r="J47" s="83" t="str">
        <f>IF('Time Entry'!$F$17="","",'Time Entry'!$F$17)</f>
        <v/>
      </c>
      <c r="K47" s="77" t="str">
        <f>IF(I47="","",(IF(AND(WEEKDAY(D47)&gt;1,WEEKDAY(D47)&lt;7),(IF(I47="","",(IF(I47&gt;8,8,I47)))),0)))</f>
        <v/>
      </c>
      <c r="L47" s="88" t="str">
        <f t="shared" si="3"/>
        <v/>
      </c>
      <c r="M47" s="91" t="str">
        <f t="shared" si="4"/>
        <v/>
      </c>
      <c r="N47" s="92" t="str">
        <f t="shared" si="2"/>
        <v/>
      </c>
    </row>
    <row r="48" spans="1:14" ht="14.5">
      <c r="A48" s="76" t="str">
        <f>IF('Time Entry'!$D$7="","",'Time Entry'!$D$7)</f>
        <v>Steed Clark</v>
      </c>
      <c r="B48" s="77">
        <f>IF('Time Entry'!$F$7="","",'Time Entry'!$F$7)</f>
        <v>35</v>
      </c>
      <c r="C48" s="78">
        <f>IF('Time Entry'!$E$7="","",'Time Entry'!$E$7)</f>
        <v>44793</v>
      </c>
      <c r="D48" s="78">
        <f>IF('Time Entry'!$J$10="","",'Time Entry'!$J$10)</f>
        <v>44796</v>
      </c>
      <c r="E48" s="83">
        <f>IF('Time Entry'!$B$17="","",'Time Entry'!$B$17)</f>
        <v>2</v>
      </c>
      <c r="F48" s="83" t="str">
        <f>IF('Time Entry'!C$17="","",'Time Entry'!C$17)</f>
        <v/>
      </c>
      <c r="G48" s="83" t="str">
        <f>IF('Time Entry'!D$17="","",'Time Entry'!D$17)</f>
        <v/>
      </c>
      <c r="H48" s="83" t="str">
        <f>IF('Time Entry'!E$17="","",'Time Entry'!E$17)</f>
        <v/>
      </c>
      <c r="I48" s="83" t="str">
        <f>IF('Time Entry'!$J$17="","",'Time Entry'!$J$17)</f>
        <v/>
      </c>
      <c r="J48" s="83" t="str">
        <f>IF('Time Entry'!$F$17="","",'Time Entry'!$F$17)</f>
        <v/>
      </c>
      <c r="K48" s="77" t="str">
        <f>IF(I48="","",(IF(AND(WEEKDAY(D48)&gt;1,WEEKDAY(D48)&lt;7),(IF(I48="","",(IF(I48&gt;8,8,I48)))),0)))</f>
        <v/>
      </c>
      <c r="L48" s="88" t="str">
        <f t="shared" si="3"/>
        <v/>
      </c>
      <c r="M48" s="91" t="str">
        <f t="shared" si="4"/>
        <v/>
      </c>
      <c r="N48" s="92" t="str">
        <f t="shared" si="2"/>
        <v/>
      </c>
    </row>
    <row r="49" spans="1:14" ht="14.5">
      <c r="A49" s="76" t="str">
        <f>IF('Time Entry'!$D$7="","",'Time Entry'!$D$7)</f>
        <v>Steed Clark</v>
      </c>
      <c r="B49" s="77">
        <f>IF('Time Entry'!$F$7="","",'Time Entry'!$F$7)</f>
        <v>35</v>
      </c>
      <c r="C49" s="78">
        <f>IF('Time Entry'!$E$7="","",'Time Entry'!$E$7)</f>
        <v>44793</v>
      </c>
      <c r="D49" s="78">
        <f>IF('Time Entry'!$K$10="","",'Time Entry'!$K$10)</f>
        <v>44797</v>
      </c>
      <c r="E49" s="83">
        <f>IF('Time Entry'!$B$17="","",'Time Entry'!$B$17)</f>
        <v>2</v>
      </c>
      <c r="F49" s="83" t="str">
        <f>IF('Time Entry'!C$17="","",'Time Entry'!C$17)</f>
        <v/>
      </c>
      <c r="G49" s="83" t="str">
        <f>IF('Time Entry'!D$17="","",'Time Entry'!D$17)</f>
        <v/>
      </c>
      <c r="H49" s="83" t="str">
        <f>IF('Time Entry'!E$17="","",'Time Entry'!E$17)</f>
        <v/>
      </c>
      <c r="I49" s="83" t="str">
        <f>IF('Time Entry'!$K$17="","",'Time Entry'!$K$17)</f>
        <v/>
      </c>
      <c r="J49" s="83" t="str">
        <f>IF('Time Entry'!$F$17="","",'Time Entry'!$F$17)</f>
        <v/>
      </c>
      <c r="K49" s="77" t="str">
        <f>IF(I49="","",(IF(AND(WEEKDAY(D49)&gt;1,WEEKDAY(D49)&lt;7),(IF(I49="","",(IF(I49&gt;8,8,I49)))),0)))</f>
        <v/>
      </c>
      <c r="L49" s="88" t="str">
        <f t="shared" si="3"/>
        <v/>
      </c>
      <c r="M49" s="91" t="str">
        <f t="shared" si="4"/>
        <v/>
      </c>
      <c r="N49" s="92" t="str">
        <f t="shared" si="2"/>
        <v/>
      </c>
    </row>
    <row r="50" spans="1:14" ht="14.5">
      <c r="A50" s="76" t="str">
        <f>IF('Time Entry'!$D$7="","",'Time Entry'!$D$7)</f>
        <v>Steed Clark</v>
      </c>
      <c r="B50" s="77">
        <f>IF('Time Entry'!$F$7="","",'Time Entry'!$F$7)</f>
        <v>35</v>
      </c>
      <c r="C50" s="78">
        <f>IF('Time Entry'!$E$7="","",'Time Entry'!$E$7)</f>
        <v>44793</v>
      </c>
      <c r="D50" s="78">
        <f>IF('Time Entry'!$L$10="","",'Time Entry'!$L$10)</f>
        <v>44798</v>
      </c>
      <c r="E50" s="83">
        <f>IF('Time Entry'!$B$17="","",'Time Entry'!$B$17)</f>
        <v>2</v>
      </c>
      <c r="F50" s="83" t="str">
        <f>IF('Time Entry'!C$17="","",'Time Entry'!C$17)</f>
        <v/>
      </c>
      <c r="G50" s="83" t="str">
        <f>IF('Time Entry'!D$17="","",'Time Entry'!D$17)</f>
        <v/>
      </c>
      <c r="H50" s="83" t="str">
        <f>IF('Time Entry'!E$17="","",'Time Entry'!E$17)</f>
        <v/>
      </c>
      <c r="I50" s="83" t="str">
        <f>IF('Time Entry'!$L$17="","",'Time Entry'!$L$17)</f>
        <v/>
      </c>
      <c r="J50" s="83" t="str">
        <f>IF('Time Entry'!$F$17="","",'Time Entry'!$F$17)</f>
        <v/>
      </c>
      <c r="K50" s="77" t="str">
        <f>IF(I50="","",(IF(AND(WEEKDAY(D50)&gt;1,WEEKDAY(D50)&lt;7),(IF(I50="","",(IF(I50&gt;8,8,I50)))),0)))</f>
        <v/>
      </c>
      <c r="L50" s="88" t="str">
        <f t="shared" si="3"/>
        <v/>
      </c>
      <c r="M50" s="91" t="str">
        <f t="shared" si="4"/>
        <v/>
      </c>
      <c r="N50" s="92" t="str">
        <f t="shared" si="2"/>
        <v/>
      </c>
    </row>
    <row r="51" spans="1:14" ht="14.5">
      <c r="A51" s="76" t="str">
        <f>IF('Time Entry'!$D$7="","",'Time Entry'!$D$7)</f>
        <v>Steed Clark</v>
      </c>
      <c r="B51" s="77">
        <f>IF('Time Entry'!$F$7="","",'Time Entry'!$F$7)</f>
        <v>35</v>
      </c>
      <c r="C51" s="78">
        <f>IF('Time Entry'!$E$7="","",'Time Entry'!$E$7)</f>
        <v>44793</v>
      </c>
      <c r="D51" s="78">
        <f>IF('Time Entry'!$M$10="","",'Time Entry'!$M$10)</f>
        <v>44799</v>
      </c>
      <c r="E51" s="83">
        <f>IF('Time Entry'!$B$17="","",'Time Entry'!$B$17)</f>
        <v>2</v>
      </c>
      <c r="F51" s="83" t="str">
        <f>IF('Time Entry'!C$17="","",'Time Entry'!C$17)</f>
        <v/>
      </c>
      <c r="G51" s="83" t="str">
        <f>IF('Time Entry'!D$17="","",'Time Entry'!D$17)</f>
        <v/>
      </c>
      <c r="H51" s="83" t="str">
        <f>IF('Time Entry'!E$17="","",'Time Entry'!E$17)</f>
        <v/>
      </c>
      <c r="I51" s="83" t="str">
        <f>IF('Time Entry'!$M$17="","",'Time Entry'!$M$17)</f>
        <v/>
      </c>
      <c r="J51" s="83" t="str">
        <f>IF('Time Entry'!$F$17="","",'Time Entry'!$F$17)</f>
        <v/>
      </c>
      <c r="K51" s="77" t="str">
        <f>IF(I51="","",(IF(AND(WEEKDAY(D51)&gt;1,WEEKDAY(D51)&lt;7),(IF(I51="","",(IF(I51&gt;8,8,I51)))),0)))</f>
        <v/>
      </c>
      <c r="L51" s="88" t="str">
        <f t="shared" si="3"/>
        <v/>
      </c>
      <c r="M51" s="91" t="str">
        <f t="shared" si="4"/>
        <v/>
      </c>
      <c r="N51" s="92" t="str">
        <f t="shared" si="2"/>
        <v/>
      </c>
    </row>
    <row r="52" spans="1:14" ht="14.5">
      <c r="A52" s="76" t="str">
        <f>IF('Time Entry'!$D$7="","",'Time Entry'!$D$7)</f>
        <v>Steed Clark</v>
      </c>
      <c r="B52" s="77">
        <f>IF('Time Entry'!$F$7="","",'Time Entry'!$F$7)</f>
        <v>35</v>
      </c>
      <c r="C52" s="78">
        <f>IF('Time Entry'!$E$7="","",'Time Entry'!$E$7)</f>
        <v>44793</v>
      </c>
      <c r="D52" s="78">
        <f>IF('Time Entry'!$G$10="","",'Time Entry'!$G$10)</f>
        <v>44793</v>
      </c>
      <c r="E52" s="83">
        <f>IF('Time Entry'!$B$18="","",'Time Entry'!$B$18)</f>
        <v>3</v>
      </c>
      <c r="F52" s="83" t="str">
        <f>IF('Time Entry'!C$18="","",'Time Entry'!C$18)</f>
        <v/>
      </c>
      <c r="G52" s="83" t="str">
        <f>IF('Time Entry'!D$18="","",'Time Entry'!D$18)</f>
        <v/>
      </c>
      <c r="H52" s="83" t="str">
        <f>IF('Time Entry'!E$18="","",'Time Entry'!E$18)</f>
        <v/>
      </c>
      <c r="I52" s="83" t="str">
        <f>IF('Time Entry'!$G$18="","",'Time Entry'!$G$18)</f>
        <v/>
      </c>
      <c r="J52" s="83" t="str">
        <f>IF('Time Entry'!$F$18="","",'Time Entry'!$F$18)</f>
        <v/>
      </c>
      <c r="K52" s="77" t="str">
        <f>IF(I52="","",(IF(AND(WEEKDAY(D52)&gt;1,WEEKDAY(D52)&lt;7),(IF(I52="","",(IF(I52&gt;8,8,I52)))),0)))</f>
        <v/>
      </c>
      <c r="L52" s="88" t="str">
        <f t="shared" si="3"/>
        <v/>
      </c>
      <c r="M52" s="91" t="str">
        <f t="shared" si="4"/>
        <v/>
      </c>
      <c r="N52" s="92" t="str">
        <f t="shared" si="2"/>
        <v/>
      </c>
    </row>
    <row r="53" spans="1:14" ht="14.5">
      <c r="A53" s="76" t="str">
        <f>IF('Time Entry'!$D$7="","",'Time Entry'!$D$7)</f>
        <v>Steed Clark</v>
      </c>
      <c r="B53" s="77">
        <f>IF('Time Entry'!$F$7="","",'Time Entry'!$F$7)</f>
        <v>35</v>
      </c>
      <c r="C53" s="78">
        <f>IF('Time Entry'!$E$7="","",'Time Entry'!$E$7)</f>
        <v>44793</v>
      </c>
      <c r="D53" s="78">
        <f>IF('Time Entry'!$H$10="","",'Time Entry'!$H$10)</f>
        <v>44794</v>
      </c>
      <c r="E53" s="83">
        <f>IF('Time Entry'!$B$18="","",'Time Entry'!$B$18)</f>
        <v>3</v>
      </c>
      <c r="F53" s="83" t="str">
        <f>IF('Time Entry'!C$18="","",'Time Entry'!C$18)</f>
        <v/>
      </c>
      <c r="G53" s="83" t="str">
        <f>IF('Time Entry'!D$18="","",'Time Entry'!D$18)</f>
        <v/>
      </c>
      <c r="H53" s="83" t="str">
        <f>IF('Time Entry'!E$18="","",'Time Entry'!E$18)</f>
        <v/>
      </c>
      <c r="I53" s="83" t="str">
        <f>IF('Time Entry'!$H$18="","",'Time Entry'!$H$18)</f>
        <v/>
      </c>
      <c r="J53" s="83" t="str">
        <f>IF('Time Entry'!$F$18="","",'Time Entry'!$F$18)</f>
        <v/>
      </c>
      <c r="K53" s="77" t="str">
        <f>IF(I53="","",(IF(AND(WEEKDAY(D53)&gt;1,WEEKDAY(D53)&lt;7),(IF(I53="","",(IF(I53&gt;8,8,I53)))),0)))</f>
        <v/>
      </c>
      <c r="L53" s="88" t="str">
        <f t="shared" si="3"/>
        <v/>
      </c>
      <c r="M53" s="91" t="str">
        <f t="shared" si="4"/>
        <v/>
      </c>
      <c r="N53" s="92" t="str">
        <f t="shared" si="2"/>
        <v/>
      </c>
    </row>
    <row r="54" spans="1:14" ht="14.5">
      <c r="A54" s="76" t="str">
        <f>IF('Time Entry'!$D$7="","",'Time Entry'!$D$7)</f>
        <v>Steed Clark</v>
      </c>
      <c r="B54" s="77">
        <f>IF('Time Entry'!$F$7="","",'Time Entry'!$F$7)</f>
        <v>35</v>
      </c>
      <c r="C54" s="78">
        <f>IF('Time Entry'!$E$7="","",'Time Entry'!$E$7)</f>
        <v>44793</v>
      </c>
      <c r="D54" s="78">
        <f>IF('Time Entry'!$I$10="","",'Time Entry'!$I$10)</f>
        <v>44795</v>
      </c>
      <c r="E54" s="83">
        <f>IF('Time Entry'!$B$18="","",'Time Entry'!$B$18)</f>
        <v>3</v>
      </c>
      <c r="F54" s="83" t="str">
        <f>IF('Time Entry'!C$18="","",'Time Entry'!C$18)</f>
        <v/>
      </c>
      <c r="G54" s="83" t="str">
        <f>IF('Time Entry'!D$18="","",'Time Entry'!D$18)</f>
        <v/>
      </c>
      <c r="H54" s="83" t="str">
        <f>IF('Time Entry'!E$18="","",'Time Entry'!E$18)</f>
        <v/>
      </c>
      <c r="I54" s="83" t="str">
        <f>IF('Time Entry'!$I$18="","",'Time Entry'!$I$18)</f>
        <v/>
      </c>
      <c r="J54" s="83" t="str">
        <f>IF('Time Entry'!$F$18="","",'Time Entry'!$F$18)</f>
        <v/>
      </c>
      <c r="K54" s="77" t="str">
        <f>IF(I54="","",(IF(AND(WEEKDAY(D54)&gt;1,WEEKDAY(D54)&lt;7),(IF(I54="","",(IF(I54&gt;8,8,I54)))),0)))</f>
        <v/>
      </c>
      <c r="L54" s="88" t="str">
        <f t="shared" si="3"/>
        <v/>
      </c>
      <c r="M54" s="91" t="str">
        <f t="shared" si="4"/>
        <v/>
      </c>
      <c r="N54" s="92" t="str">
        <f t="shared" si="2"/>
        <v/>
      </c>
    </row>
    <row r="55" spans="1:14" ht="14.5">
      <c r="A55" s="76" t="str">
        <f>IF('Time Entry'!$D$7="","",'Time Entry'!$D$7)</f>
        <v>Steed Clark</v>
      </c>
      <c r="B55" s="77">
        <f>IF('Time Entry'!$F$7="","",'Time Entry'!$F$7)</f>
        <v>35</v>
      </c>
      <c r="C55" s="78">
        <f>IF('Time Entry'!$E$7="","",'Time Entry'!$E$7)</f>
        <v>44793</v>
      </c>
      <c r="D55" s="78">
        <f>IF('Time Entry'!$J$10="","",'Time Entry'!$J$10)</f>
        <v>44796</v>
      </c>
      <c r="E55" s="83">
        <f>IF('Time Entry'!$B$18="","",'Time Entry'!$B$18)</f>
        <v>3</v>
      </c>
      <c r="F55" s="83" t="str">
        <f>IF('Time Entry'!C$18="","",'Time Entry'!C$18)</f>
        <v/>
      </c>
      <c r="G55" s="83" t="str">
        <f>IF('Time Entry'!D$18="","",'Time Entry'!D$18)</f>
        <v/>
      </c>
      <c r="H55" s="83" t="str">
        <f>IF('Time Entry'!E$18="","",'Time Entry'!E$18)</f>
        <v/>
      </c>
      <c r="I55" s="83" t="str">
        <f>IF('Time Entry'!$J$18="","",'Time Entry'!$J$18)</f>
        <v/>
      </c>
      <c r="J55" s="83" t="str">
        <f>IF('Time Entry'!$F$18="","",'Time Entry'!$F$18)</f>
        <v/>
      </c>
      <c r="K55" s="77" t="str">
        <f>IF(I55="","",(IF(AND(WEEKDAY(D55)&gt;1,WEEKDAY(D55)&lt;7),(IF(I55="","",(IF(I55&gt;8,8,I55)))),0)))</f>
        <v/>
      </c>
      <c r="L55" s="88" t="str">
        <f t="shared" si="3"/>
        <v/>
      </c>
      <c r="M55" s="91" t="str">
        <f t="shared" si="4"/>
        <v/>
      </c>
      <c r="N55" s="92" t="str">
        <f t="shared" si="2"/>
        <v/>
      </c>
    </row>
    <row r="56" spans="1:14" ht="14.5">
      <c r="A56" s="76" t="str">
        <f>IF('Time Entry'!$D$7="","",'Time Entry'!$D$7)</f>
        <v>Steed Clark</v>
      </c>
      <c r="B56" s="77">
        <f>IF('Time Entry'!$F$7="","",'Time Entry'!$F$7)</f>
        <v>35</v>
      </c>
      <c r="C56" s="78">
        <f>IF('Time Entry'!$E$7="","",'Time Entry'!$E$7)</f>
        <v>44793</v>
      </c>
      <c r="D56" s="78">
        <f>IF('Time Entry'!$K$10="","",'Time Entry'!$K$10)</f>
        <v>44797</v>
      </c>
      <c r="E56" s="83">
        <f>IF('Time Entry'!$B$18="","",'Time Entry'!$B$18)</f>
        <v>3</v>
      </c>
      <c r="F56" s="83" t="str">
        <f>IF('Time Entry'!C$18="","",'Time Entry'!C$18)</f>
        <v/>
      </c>
      <c r="G56" s="83" t="str">
        <f>IF('Time Entry'!D$18="","",'Time Entry'!D$18)</f>
        <v/>
      </c>
      <c r="H56" s="83" t="str">
        <f>IF('Time Entry'!E$18="","",'Time Entry'!E$18)</f>
        <v/>
      </c>
      <c r="I56" s="83" t="str">
        <f>IF('Time Entry'!$K$18="","",'Time Entry'!$K$18)</f>
        <v/>
      </c>
      <c r="J56" s="83" t="str">
        <f>IF('Time Entry'!$F$18="","",'Time Entry'!$F$18)</f>
        <v/>
      </c>
      <c r="K56" s="77" t="str">
        <f>IF(I56="","",(IF(AND(WEEKDAY(D56)&gt;1,WEEKDAY(D56)&lt;7),(IF(I56="","",(IF(I56&gt;8,8,I56)))),0)))</f>
        <v/>
      </c>
      <c r="L56" s="88" t="str">
        <f t="shared" si="3"/>
        <v/>
      </c>
      <c r="M56" s="91" t="str">
        <f t="shared" si="4"/>
        <v/>
      </c>
      <c r="N56" s="92" t="str">
        <f t="shared" si="2"/>
        <v/>
      </c>
    </row>
    <row r="57" spans="1:14" ht="14.5">
      <c r="A57" s="76" t="str">
        <f>IF('Time Entry'!$D$7="","",'Time Entry'!$D$7)</f>
        <v>Steed Clark</v>
      </c>
      <c r="B57" s="77">
        <f>IF('Time Entry'!$F$7="","",'Time Entry'!$F$7)</f>
        <v>35</v>
      </c>
      <c r="C57" s="78">
        <f>IF('Time Entry'!$E$7="","",'Time Entry'!$E$7)</f>
        <v>44793</v>
      </c>
      <c r="D57" s="78">
        <f>IF('Time Entry'!$L$10="","",'Time Entry'!$L$10)</f>
        <v>44798</v>
      </c>
      <c r="E57" s="83">
        <f>IF('Time Entry'!$B$18="","",'Time Entry'!$B$18)</f>
        <v>3</v>
      </c>
      <c r="F57" s="83" t="str">
        <f>IF('Time Entry'!C$18="","",'Time Entry'!C$18)</f>
        <v/>
      </c>
      <c r="G57" s="83" t="str">
        <f>IF('Time Entry'!D$18="","",'Time Entry'!D$18)</f>
        <v/>
      </c>
      <c r="H57" s="83" t="str">
        <f>IF('Time Entry'!E$18="","",'Time Entry'!E$18)</f>
        <v/>
      </c>
      <c r="I57" s="83" t="str">
        <f>IF('Time Entry'!$L$18="","",'Time Entry'!$L$18)</f>
        <v/>
      </c>
      <c r="J57" s="83" t="str">
        <f>IF('Time Entry'!$F$18="","",'Time Entry'!$F$18)</f>
        <v/>
      </c>
      <c r="K57" s="77" t="str">
        <f>IF(I57="","",(IF(AND(WEEKDAY(D57)&gt;1,WEEKDAY(D57)&lt;7),(IF(I57="","",(IF(I57&gt;8,8,I57)))),0)))</f>
        <v/>
      </c>
      <c r="L57" s="88" t="str">
        <f t="shared" si="3"/>
        <v/>
      </c>
      <c r="M57" s="91" t="str">
        <f t="shared" si="4"/>
        <v/>
      </c>
      <c r="N57" s="92" t="str">
        <f t="shared" si="2"/>
        <v/>
      </c>
    </row>
    <row r="58" spans="1:14" ht="14.5">
      <c r="A58" s="76" t="str">
        <f>IF('Time Entry'!$D$7="","",'Time Entry'!$D$7)</f>
        <v>Steed Clark</v>
      </c>
      <c r="B58" s="77">
        <f>IF('Time Entry'!$F$7="","",'Time Entry'!$F$7)</f>
        <v>35</v>
      </c>
      <c r="C58" s="78">
        <f>IF('Time Entry'!$E$7="","",'Time Entry'!$E$7)</f>
        <v>44793</v>
      </c>
      <c r="D58" s="78">
        <f>IF('Time Entry'!$M$10="","",'Time Entry'!$M$10)</f>
        <v>44799</v>
      </c>
      <c r="E58" s="83">
        <f>IF('Time Entry'!$B$18="","",'Time Entry'!$B$18)</f>
        <v>3</v>
      </c>
      <c r="F58" s="83" t="str">
        <f>IF('Time Entry'!C$18="","",'Time Entry'!C$18)</f>
        <v/>
      </c>
      <c r="G58" s="83" t="str">
        <f>IF('Time Entry'!D$18="","",'Time Entry'!D$18)</f>
        <v/>
      </c>
      <c r="H58" s="83" t="str">
        <f>IF('Time Entry'!E$18="","",'Time Entry'!E$18)</f>
        <v/>
      </c>
      <c r="I58" s="83" t="str">
        <f>IF('Time Entry'!$M$18="","",'Time Entry'!$M$18)</f>
        <v/>
      </c>
      <c r="J58" s="83" t="str">
        <f>IF('Time Entry'!$F$18="","",'Time Entry'!$F$18)</f>
        <v/>
      </c>
      <c r="K58" s="77" t="str">
        <f>IF(I58="","",(IF(AND(WEEKDAY(D58)&gt;1,WEEKDAY(D58)&lt;7),(IF(I58="","",(IF(I58&gt;8,8,I58)))),0)))</f>
        <v/>
      </c>
      <c r="L58" s="88" t="str">
        <f t="shared" si="3"/>
        <v/>
      </c>
      <c r="M58" s="91" t="str">
        <f t="shared" si="4"/>
        <v/>
      </c>
      <c r="N58" s="92" t="str">
        <f t="shared" si="2"/>
        <v/>
      </c>
    </row>
    <row r="59" spans="1:14" ht="14.5">
      <c r="A59" s="76" t="str">
        <f>IF('Time Entry'!$D$7="","",'Time Entry'!$D$7)</f>
        <v>Steed Clark</v>
      </c>
      <c r="B59" s="77">
        <f>IF('Time Entry'!$F$7="","",'Time Entry'!$F$7)</f>
        <v>35</v>
      </c>
      <c r="C59" s="78">
        <f>IF('Time Entry'!$E$7="","",'Time Entry'!$E$7)</f>
        <v>44793</v>
      </c>
      <c r="D59" s="78">
        <f>IF('Time Entry'!$G$10="","",'Time Entry'!$G$10)</f>
        <v>44793</v>
      </c>
      <c r="E59" s="83">
        <f>IF('Time Entry'!$B$19="","",'Time Entry'!$B$19)</f>
        <v>4</v>
      </c>
      <c r="F59" s="83" t="str">
        <f>IF('Time Entry'!C$19="","",'Time Entry'!C$19)</f>
        <v/>
      </c>
      <c r="G59" s="83" t="str">
        <f>IF('Time Entry'!D$19="","",'Time Entry'!D$19)</f>
        <v/>
      </c>
      <c r="H59" s="83" t="str">
        <f>IF('Time Entry'!E$19="","",'Time Entry'!E$19)</f>
        <v/>
      </c>
      <c r="I59" s="83" t="str">
        <f>IF('Time Entry'!$G$19="","",'Time Entry'!$G$19)</f>
        <v/>
      </c>
      <c r="J59" s="83" t="str">
        <f>IF('Time Entry'!$F$19="","",'Time Entry'!$F$19)</f>
        <v/>
      </c>
      <c r="K59" s="77" t="str">
        <f>IF(I59="","",(IF(AND(WEEKDAY(D59)&gt;1,WEEKDAY(D59)&lt;7),(IF(I59="","",(IF(I59&gt;8,8,I59)))),0)))</f>
        <v/>
      </c>
      <c r="L59" s="88" t="str">
        <f t="shared" si="3"/>
        <v/>
      </c>
      <c r="M59" s="91" t="str">
        <f t="shared" si="4"/>
        <v/>
      </c>
      <c r="N59" s="92" t="str">
        <f t="shared" si="2"/>
        <v/>
      </c>
    </row>
    <row r="60" spans="1:14" ht="14.5">
      <c r="A60" s="76" t="str">
        <f>IF('Time Entry'!$D$7="","",'Time Entry'!$D$7)</f>
        <v>Steed Clark</v>
      </c>
      <c r="B60" s="77">
        <f>IF('Time Entry'!$F$7="","",'Time Entry'!$F$7)</f>
        <v>35</v>
      </c>
      <c r="C60" s="78">
        <f>IF('Time Entry'!$E$7="","",'Time Entry'!$E$7)</f>
        <v>44793</v>
      </c>
      <c r="D60" s="78">
        <f>IF('Time Entry'!$H$10="","",'Time Entry'!$H$10)</f>
        <v>44794</v>
      </c>
      <c r="E60" s="83">
        <f>IF('Time Entry'!$B$19="","",'Time Entry'!$B$19)</f>
        <v>4</v>
      </c>
      <c r="F60" s="83" t="str">
        <f>IF('Time Entry'!C$19="","",'Time Entry'!C$19)</f>
        <v/>
      </c>
      <c r="G60" s="83" t="str">
        <f>IF('Time Entry'!D$19="","",'Time Entry'!D$19)</f>
        <v/>
      </c>
      <c r="H60" s="83" t="str">
        <f>IF('Time Entry'!E$19="","",'Time Entry'!E$19)</f>
        <v/>
      </c>
      <c r="I60" s="83" t="str">
        <f>IF('Time Entry'!$H$19="","",'Time Entry'!$H$19)</f>
        <v/>
      </c>
      <c r="J60" s="83" t="str">
        <f>IF('Time Entry'!$F$19="","",'Time Entry'!$F$19)</f>
        <v/>
      </c>
      <c r="K60" s="77" t="str">
        <f>IF(I60="","",(IF(AND(WEEKDAY(D60)&gt;1,WEEKDAY(D60)&lt;7),(IF(I60="","",(IF(I60&gt;8,8,I60)))),0)))</f>
        <v/>
      </c>
      <c r="L60" s="88" t="str">
        <f t="shared" si="3"/>
        <v/>
      </c>
      <c r="M60" s="91" t="str">
        <f t="shared" si="4"/>
        <v/>
      </c>
      <c r="N60" s="92" t="str">
        <f t="shared" si="2"/>
        <v/>
      </c>
    </row>
    <row r="61" spans="1:14" ht="14.5">
      <c r="A61" s="76" t="str">
        <f>IF('Time Entry'!$D$7="","",'Time Entry'!$D$7)</f>
        <v>Steed Clark</v>
      </c>
      <c r="B61" s="77">
        <f>IF('Time Entry'!$F$7="","",'Time Entry'!$F$7)</f>
        <v>35</v>
      </c>
      <c r="C61" s="78">
        <f>IF('Time Entry'!$E$7="","",'Time Entry'!$E$7)</f>
        <v>44793</v>
      </c>
      <c r="D61" s="78">
        <f>IF('Time Entry'!$I$10="","",'Time Entry'!$I$10)</f>
        <v>44795</v>
      </c>
      <c r="E61" s="83">
        <f>IF('Time Entry'!$B$19="","",'Time Entry'!$B$19)</f>
        <v>4</v>
      </c>
      <c r="F61" s="83" t="str">
        <f>IF('Time Entry'!C$19="","",'Time Entry'!C$19)</f>
        <v/>
      </c>
      <c r="G61" s="83" t="str">
        <f>IF('Time Entry'!D$19="","",'Time Entry'!D$19)</f>
        <v/>
      </c>
      <c r="H61" s="83" t="str">
        <f>IF('Time Entry'!E$19="","",'Time Entry'!E$19)</f>
        <v/>
      </c>
      <c r="I61" s="83" t="str">
        <f>IF('Time Entry'!$I$19="","",'Time Entry'!$I$19)</f>
        <v/>
      </c>
      <c r="J61" s="83" t="str">
        <f>IF('Time Entry'!$F$19="","",'Time Entry'!$F$19)</f>
        <v/>
      </c>
      <c r="K61" s="77" t="str">
        <f>IF(I61="","",(IF(AND(WEEKDAY(D61)&gt;1,WEEKDAY(D61)&lt;7),(IF(I61="","",(IF(I61&gt;8,8,I61)))),0)))</f>
        <v/>
      </c>
      <c r="L61" s="88" t="str">
        <f t="shared" si="3"/>
        <v/>
      </c>
      <c r="M61" s="91" t="str">
        <f t="shared" si="4"/>
        <v/>
      </c>
      <c r="N61" s="92" t="str">
        <f t="shared" si="2"/>
        <v/>
      </c>
    </row>
    <row r="62" spans="1:14" ht="14.5">
      <c r="A62" s="76" t="str">
        <f>IF('Time Entry'!$D$7="","",'Time Entry'!$D$7)</f>
        <v>Steed Clark</v>
      </c>
      <c r="B62" s="77">
        <f>IF('Time Entry'!$F$7="","",'Time Entry'!$F$7)</f>
        <v>35</v>
      </c>
      <c r="C62" s="78">
        <f>IF('Time Entry'!$E$7="","",'Time Entry'!$E$7)</f>
        <v>44793</v>
      </c>
      <c r="D62" s="78">
        <f>IF('Time Entry'!$J$10="","",'Time Entry'!$J$10)</f>
        <v>44796</v>
      </c>
      <c r="E62" s="83">
        <f>IF('Time Entry'!$B$19="","",'Time Entry'!$B$19)</f>
        <v>4</v>
      </c>
      <c r="F62" s="83" t="str">
        <f>IF('Time Entry'!C$19="","",'Time Entry'!C$19)</f>
        <v/>
      </c>
      <c r="G62" s="83" t="str">
        <f>IF('Time Entry'!D$19="","",'Time Entry'!D$19)</f>
        <v/>
      </c>
      <c r="H62" s="83" t="str">
        <f>IF('Time Entry'!E$19="","",'Time Entry'!E$19)</f>
        <v/>
      </c>
      <c r="I62" s="83" t="str">
        <f>IF('Time Entry'!$J$19="","",'Time Entry'!$J$19)</f>
        <v/>
      </c>
      <c r="J62" s="83" t="str">
        <f>IF('Time Entry'!$F$19="","",'Time Entry'!$F$19)</f>
        <v/>
      </c>
      <c r="K62" s="77" t="str">
        <f>IF(I62="","",(IF(AND(WEEKDAY(D62)&gt;1,WEEKDAY(D62)&lt;7),(IF(I62="","",(IF(I62&gt;8,8,I62)))),0)))</f>
        <v/>
      </c>
      <c r="L62" s="88" t="str">
        <f t="shared" si="3"/>
        <v/>
      </c>
      <c r="M62" s="91" t="str">
        <f t="shared" si="4"/>
        <v/>
      </c>
      <c r="N62" s="92" t="str">
        <f t="shared" si="2"/>
        <v/>
      </c>
    </row>
    <row r="63" spans="1:14" ht="14.5">
      <c r="A63" s="76" t="str">
        <f>IF('Time Entry'!$D$7="","",'Time Entry'!$D$7)</f>
        <v>Steed Clark</v>
      </c>
      <c r="B63" s="77">
        <f>IF('Time Entry'!$F$7="","",'Time Entry'!$F$7)</f>
        <v>35</v>
      </c>
      <c r="C63" s="78">
        <f>IF('Time Entry'!$E$7="","",'Time Entry'!$E$7)</f>
        <v>44793</v>
      </c>
      <c r="D63" s="78">
        <f>IF('Time Entry'!$K$10="","",'Time Entry'!$K$10)</f>
        <v>44797</v>
      </c>
      <c r="E63" s="83">
        <f>IF('Time Entry'!$B$19="","",'Time Entry'!$B$19)</f>
        <v>4</v>
      </c>
      <c r="F63" s="83" t="str">
        <f>IF('Time Entry'!C$19="","",'Time Entry'!C$19)</f>
        <v/>
      </c>
      <c r="G63" s="83" t="str">
        <f>IF('Time Entry'!D$19="","",'Time Entry'!D$19)</f>
        <v/>
      </c>
      <c r="H63" s="83" t="str">
        <f>IF('Time Entry'!E$19="","",'Time Entry'!E$19)</f>
        <v/>
      </c>
      <c r="I63" s="83" t="str">
        <f>IF('Time Entry'!$K$19="","",'Time Entry'!$K$19)</f>
        <v/>
      </c>
      <c r="J63" s="83" t="str">
        <f>IF('Time Entry'!$F$19="","",'Time Entry'!$F$19)</f>
        <v/>
      </c>
      <c r="K63" s="77" t="str">
        <f>IF(I63="","",(IF(AND(WEEKDAY(D63)&gt;1,WEEKDAY(D63)&lt;7),(IF(I63="","",(IF(I63&gt;8,8,I63)))),0)))</f>
        <v/>
      </c>
      <c r="L63" s="88" t="str">
        <f t="shared" si="3"/>
        <v/>
      </c>
      <c r="M63" s="91" t="str">
        <f t="shared" si="4"/>
        <v/>
      </c>
      <c r="N63" s="92" t="str">
        <f t="shared" si="2"/>
        <v/>
      </c>
    </row>
    <row r="64" spans="1:14" ht="14.5">
      <c r="A64" s="76" t="str">
        <f>IF('Time Entry'!$D$7="","",'Time Entry'!$D$7)</f>
        <v>Steed Clark</v>
      </c>
      <c r="B64" s="77">
        <f>IF('Time Entry'!$F$7="","",'Time Entry'!$F$7)</f>
        <v>35</v>
      </c>
      <c r="C64" s="78">
        <f>IF('Time Entry'!$E$7="","",'Time Entry'!$E$7)</f>
        <v>44793</v>
      </c>
      <c r="D64" s="78">
        <f>IF('Time Entry'!$L$10="","",'Time Entry'!$L$10)</f>
        <v>44798</v>
      </c>
      <c r="E64" s="83">
        <f>IF('Time Entry'!$B$19="","",'Time Entry'!$B$19)</f>
        <v>4</v>
      </c>
      <c r="F64" s="83" t="str">
        <f>IF('Time Entry'!C$19="","",'Time Entry'!C$19)</f>
        <v/>
      </c>
      <c r="G64" s="83" t="str">
        <f>IF('Time Entry'!D$19="","",'Time Entry'!D$19)</f>
        <v/>
      </c>
      <c r="H64" s="83" t="str">
        <f>IF('Time Entry'!E$19="","",'Time Entry'!E$19)</f>
        <v/>
      </c>
      <c r="I64" s="83" t="str">
        <f>IF('Time Entry'!$L$19="","",'Time Entry'!$L$19)</f>
        <v/>
      </c>
      <c r="J64" s="83" t="str">
        <f>IF('Time Entry'!$F$19="","",'Time Entry'!$F$19)</f>
        <v/>
      </c>
      <c r="K64" s="77" t="str">
        <f>IF(I64="","",(IF(AND(WEEKDAY(D64)&gt;1,WEEKDAY(D64)&lt;7),(IF(I64="","",(IF(I64&gt;8,8,I64)))),0)))</f>
        <v/>
      </c>
      <c r="L64" s="88" t="str">
        <f t="shared" si="3"/>
        <v/>
      </c>
      <c r="M64" s="91" t="str">
        <f t="shared" si="4"/>
        <v/>
      </c>
      <c r="N64" s="92" t="str">
        <f t="shared" si="2"/>
        <v/>
      </c>
    </row>
    <row r="65" spans="1:14" ht="14.5">
      <c r="A65" s="76" t="str">
        <f>IF('Time Entry'!$D$7="","",'Time Entry'!$D$7)</f>
        <v>Steed Clark</v>
      </c>
      <c r="B65" s="77">
        <f>IF('Time Entry'!$F$7="","",'Time Entry'!$F$7)</f>
        <v>35</v>
      </c>
      <c r="C65" s="78">
        <f>IF('Time Entry'!$E$7="","",'Time Entry'!$E$7)</f>
        <v>44793</v>
      </c>
      <c r="D65" s="78">
        <f>IF('Time Entry'!$M$10="","",'Time Entry'!$M$10)</f>
        <v>44799</v>
      </c>
      <c r="E65" s="83">
        <f>IF('Time Entry'!$B$19="","",'Time Entry'!$B$19)</f>
        <v>4</v>
      </c>
      <c r="F65" s="83" t="str">
        <f>IF('Time Entry'!C$19="","",'Time Entry'!C$19)</f>
        <v/>
      </c>
      <c r="G65" s="83" t="str">
        <f>IF('Time Entry'!D$19="","",'Time Entry'!D$19)</f>
        <v/>
      </c>
      <c r="H65" s="83" t="str">
        <f>IF('Time Entry'!E$19="","",'Time Entry'!E$19)</f>
        <v/>
      </c>
      <c r="I65" s="83" t="str">
        <f>IF('Time Entry'!$M$19="","",'Time Entry'!$M$19)</f>
        <v/>
      </c>
      <c r="J65" s="83" t="str">
        <f>IF('Time Entry'!$F$19="","",'Time Entry'!$F$19)</f>
        <v/>
      </c>
      <c r="K65" s="77" t="str">
        <f>IF(I65="","",(IF(AND(WEEKDAY(D65)&gt;1,WEEKDAY(D65)&lt;7),(IF(I65="","",(IF(I65&gt;8,8,I65)))),0)))</f>
        <v/>
      </c>
      <c r="L65" s="88" t="str">
        <f t="shared" si="3"/>
        <v/>
      </c>
      <c r="M65" s="91" t="str">
        <f t="shared" si="4"/>
        <v/>
      </c>
      <c r="N65" s="92" t="str">
        <f t="shared" si="2"/>
        <v/>
      </c>
    </row>
    <row r="66" spans="1:14" ht="14.5">
      <c r="A66" s="76" t="str">
        <f>IF('Time Entry'!$D$7="","",'Time Entry'!$D$7)</f>
        <v>Steed Clark</v>
      </c>
      <c r="B66" s="77">
        <f>IF('Time Entry'!$F$7="","",'Time Entry'!$F$7)</f>
        <v>35</v>
      </c>
      <c r="C66" s="78">
        <f>IF('Time Entry'!$E$7="","",'Time Entry'!$E$7)</f>
        <v>44793</v>
      </c>
      <c r="D66" s="78">
        <f>IF('Time Entry'!$G$10="","",'Time Entry'!$G$10)</f>
        <v>44793</v>
      </c>
      <c r="E66" s="83">
        <f>IF('Time Entry'!$B$20="","",'Time Entry'!$B$20)</f>
        <v>5</v>
      </c>
      <c r="F66" s="83" t="str">
        <f>IF('Time Entry'!C$20="","",'Time Entry'!C$20)</f>
        <v/>
      </c>
      <c r="G66" s="83" t="str">
        <f>IF('Time Entry'!D$20="","",'Time Entry'!D$20)</f>
        <v/>
      </c>
      <c r="H66" s="83" t="str">
        <f>IF('Time Entry'!E$20="","",'Time Entry'!E$20)</f>
        <v/>
      </c>
      <c r="I66" s="83" t="str">
        <f>IF('Time Entry'!$G$20="","",'Time Entry'!$G$20)</f>
        <v/>
      </c>
      <c r="J66" s="83" t="str">
        <f>IF('Time Entry'!$F$20="","",'Time Entry'!$F$20)</f>
        <v/>
      </c>
      <c r="K66" s="77" t="str">
        <f>IF(I66="","",(IF(AND(WEEKDAY(D66)&gt;1,WEEKDAY(D66)&lt;7),(IF(I66="","",(IF(I66&gt;8,8,I66)))),0)))</f>
        <v/>
      </c>
      <c r="L66" s="88" t="str">
        <f t="shared" ref="L66:L97" si="5">IF(K66="","",(IF(AND(WEEKDAY(D66)&gt;1,WEEKDAY(D66)&lt;7),K66/8,0)))</f>
        <v/>
      </c>
      <c r="M66" s="91" t="str">
        <f t="shared" ref="M66:M97" si="6">IF(I66="","",(IF(K66=0,0,(K66/SUMIF($D$2:$D$155,D66,$K$2:$K$155)))*8))</f>
        <v/>
      </c>
      <c r="N66" s="92" t="str">
        <f t="shared" si="2"/>
        <v/>
      </c>
    </row>
    <row r="67" spans="1:14" ht="14.5">
      <c r="A67" s="76" t="str">
        <f>IF('Time Entry'!$D$7="","",'Time Entry'!$D$7)</f>
        <v>Steed Clark</v>
      </c>
      <c r="B67" s="77">
        <f>IF('Time Entry'!$F$7="","",'Time Entry'!$F$7)</f>
        <v>35</v>
      </c>
      <c r="C67" s="78">
        <f>IF('Time Entry'!$E$7="","",'Time Entry'!$E$7)</f>
        <v>44793</v>
      </c>
      <c r="D67" s="78">
        <f>IF('Time Entry'!$H$10="","",'Time Entry'!$H$10)</f>
        <v>44794</v>
      </c>
      <c r="E67" s="83">
        <f>IF('Time Entry'!$B$20="","",'Time Entry'!$B$20)</f>
        <v>5</v>
      </c>
      <c r="F67" s="83" t="str">
        <f>IF('Time Entry'!C$20="","",'Time Entry'!C$20)</f>
        <v/>
      </c>
      <c r="G67" s="83" t="str">
        <f>IF('Time Entry'!D$20="","",'Time Entry'!D$20)</f>
        <v/>
      </c>
      <c r="H67" s="83" t="str">
        <f>IF('Time Entry'!E$20="","",'Time Entry'!E$20)</f>
        <v/>
      </c>
      <c r="I67" s="83" t="str">
        <f>IF('Time Entry'!$H$20="","",'Time Entry'!$H$20)</f>
        <v/>
      </c>
      <c r="J67" s="83" t="str">
        <f>IF('Time Entry'!$F$20="","",'Time Entry'!$F$20)</f>
        <v/>
      </c>
      <c r="K67" s="77" t="str">
        <f>IF(I67="","",(IF(AND(WEEKDAY(D67)&gt;1,WEEKDAY(D67)&lt;7),(IF(I67="","",(IF(I67&gt;8,8,I67)))),0)))</f>
        <v/>
      </c>
      <c r="L67" s="88" t="str">
        <f t="shared" si="5"/>
        <v/>
      </c>
      <c r="M67" s="91" t="str">
        <f t="shared" si="6"/>
        <v/>
      </c>
      <c r="N67" s="92" t="str">
        <f t="shared" ref="N67:N130" si="7">IF(I67="","",(M67/8))</f>
        <v/>
      </c>
    </row>
    <row r="68" spans="1:14" ht="14.5">
      <c r="A68" s="76" t="str">
        <f>IF('Time Entry'!$D$7="","",'Time Entry'!$D$7)</f>
        <v>Steed Clark</v>
      </c>
      <c r="B68" s="77">
        <f>IF('Time Entry'!$F$7="","",'Time Entry'!$F$7)</f>
        <v>35</v>
      </c>
      <c r="C68" s="78">
        <f>IF('Time Entry'!$E$7="","",'Time Entry'!$E$7)</f>
        <v>44793</v>
      </c>
      <c r="D68" s="78">
        <f>IF('Time Entry'!$I$10="","",'Time Entry'!$I$10)</f>
        <v>44795</v>
      </c>
      <c r="E68" s="83">
        <f>IF('Time Entry'!$B$20="","",'Time Entry'!$B$20)</f>
        <v>5</v>
      </c>
      <c r="F68" s="83" t="str">
        <f>IF('Time Entry'!C$20="","",'Time Entry'!C$20)</f>
        <v/>
      </c>
      <c r="G68" s="83" t="str">
        <f>IF('Time Entry'!D$20="","",'Time Entry'!D$20)</f>
        <v/>
      </c>
      <c r="H68" s="83" t="str">
        <f>IF('Time Entry'!E$20="","",'Time Entry'!E$20)</f>
        <v/>
      </c>
      <c r="I68" s="83" t="str">
        <f>IF('Time Entry'!$I$20="","",'Time Entry'!$I$20)</f>
        <v/>
      </c>
      <c r="J68" s="83" t="str">
        <f>IF('Time Entry'!$F$20="","",'Time Entry'!$F$20)</f>
        <v/>
      </c>
      <c r="K68" s="77" t="str">
        <f>IF(I68="","",(IF(AND(WEEKDAY(D68)&gt;1,WEEKDAY(D68)&lt;7),(IF(I68="","",(IF(I68&gt;8,8,I68)))),0)))</f>
        <v/>
      </c>
      <c r="L68" s="88" t="str">
        <f t="shared" si="5"/>
        <v/>
      </c>
      <c r="M68" s="91" t="str">
        <f t="shared" si="6"/>
        <v/>
      </c>
      <c r="N68" s="92" t="str">
        <f t="shared" si="7"/>
        <v/>
      </c>
    </row>
    <row r="69" spans="1:14" ht="14.5">
      <c r="A69" s="76" t="str">
        <f>IF('Time Entry'!$D$7="","",'Time Entry'!$D$7)</f>
        <v>Steed Clark</v>
      </c>
      <c r="B69" s="77">
        <f>IF('Time Entry'!$F$7="","",'Time Entry'!$F$7)</f>
        <v>35</v>
      </c>
      <c r="C69" s="78">
        <f>IF('Time Entry'!$E$7="","",'Time Entry'!$E$7)</f>
        <v>44793</v>
      </c>
      <c r="D69" s="78">
        <f>IF('Time Entry'!$J$10="","",'Time Entry'!$J$10)</f>
        <v>44796</v>
      </c>
      <c r="E69" s="83">
        <f>IF('Time Entry'!$B$20="","",'Time Entry'!$B$20)</f>
        <v>5</v>
      </c>
      <c r="F69" s="83" t="str">
        <f>IF('Time Entry'!C$20="","",'Time Entry'!C$20)</f>
        <v/>
      </c>
      <c r="G69" s="83" t="str">
        <f>IF('Time Entry'!D$20="","",'Time Entry'!D$20)</f>
        <v/>
      </c>
      <c r="H69" s="83" t="str">
        <f>IF('Time Entry'!E$20="","",'Time Entry'!E$20)</f>
        <v/>
      </c>
      <c r="I69" s="83" t="str">
        <f>IF('Time Entry'!$J$20="","",'Time Entry'!$J$20)</f>
        <v/>
      </c>
      <c r="J69" s="83" t="str">
        <f>IF('Time Entry'!$F$20="","",'Time Entry'!$F$20)</f>
        <v/>
      </c>
      <c r="K69" s="77" t="str">
        <f>IF(I69="","",(IF(AND(WEEKDAY(D69)&gt;1,WEEKDAY(D69)&lt;7),(IF(I69="","",(IF(I69&gt;8,8,I69)))),0)))</f>
        <v/>
      </c>
      <c r="L69" s="88" t="str">
        <f t="shared" si="5"/>
        <v/>
      </c>
      <c r="M69" s="91" t="str">
        <f t="shared" si="6"/>
        <v/>
      </c>
      <c r="N69" s="92" t="str">
        <f t="shared" si="7"/>
        <v/>
      </c>
    </row>
    <row r="70" spans="1:14" ht="14.5">
      <c r="A70" s="76" t="str">
        <f>IF('Time Entry'!$D$7="","",'Time Entry'!$D$7)</f>
        <v>Steed Clark</v>
      </c>
      <c r="B70" s="77">
        <f>IF('Time Entry'!$F$7="","",'Time Entry'!$F$7)</f>
        <v>35</v>
      </c>
      <c r="C70" s="78">
        <f>IF('Time Entry'!$E$7="","",'Time Entry'!$E$7)</f>
        <v>44793</v>
      </c>
      <c r="D70" s="78">
        <f>IF('Time Entry'!$K$10="","",'Time Entry'!$K$10)</f>
        <v>44797</v>
      </c>
      <c r="E70" s="83">
        <f>IF('Time Entry'!$B$20="","",'Time Entry'!$B$20)</f>
        <v>5</v>
      </c>
      <c r="F70" s="83" t="str">
        <f>IF('Time Entry'!C$20="","",'Time Entry'!C$20)</f>
        <v/>
      </c>
      <c r="G70" s="83" t="str">
        <f>IF('Time Entry'!D$20="","",'Time Entry'!D$20)</f>
        <v/>
      </c>
      <c r="H70" s="83" t="str">
        <f>IF('Time Entry'!E$20="","",'Time Entry'!E$20)</f>
        <v/>
      </c>
      <c r="I70" s="83" t="str">
        <f>IF('Time Entry'!$K$20="","",'Time Entry'!$K$20)</f>
        <v/>
      </c>
      <c r="J70" s="83" t="str">
        <f>IF('Time Entry'!$F$20="","",'Time Entry'!$F$20)</f>
        <v/>
      </c>
      <c r="K70" s="77" t="str">
        <f>IF(I70="","",(IF(AND(WEEKDAY(D70)&gt;1,WEEKDAY(D70)&lt;7),(IF(I70="","",(IF(I70&gt;8,8,I70)))),0)))</f>
        <v/>
      </c>
      <c r="L70" s="88" t="str">
        <f t="shared" si="5"/>
        <v/>
      </c>
      <c r="M70" s="91" t="str">
        <f t="shared" si="6"/>
        <v/>
      </c>
      <c r="N70" s="92" t="str">
        <f t="shared" si="7"/>
        <v/>
      </c>
    </row>
    <row r="71" spans="1:14" ht="14.5">
      <c r="A71" s="76" t="str">
        <f>IF('Time Entry'!$D$7="","",'Time Entry'!$D$7)</f>
        <v>Steed Clark</v>
      </c>
      <c r="B71" s="77">
        <f>IF('Time Entry'!$F$7="","",'Time Entry'!$F$7)</f>
        <v>35</v>
      </c>
      <c r="C71" s="78">
        <f>IF('Time Entry'!$E$7="","",'Time Entry'!$E$7)</f>
        <v>44793</v>
      </c>
      <c r="D71" s="78">
        <f>IF('Time Entry'!$L$10="","",'Time Entry'!$L$10)</f>
        <v>44798</v>
      </c>
      <c r="E71" s="83">
        <f>IF('Time Entry'!$B$20="","",'Time Entry'!$B$20)</f>
        <v>5</v>
      </c>
      <c r="F71" s="83" t="str">
        <f>IF('Time Entry'!C$20="","",'Time Entry'!C$20)</f>
        <v/>
      </c>
      <c r="G71" s="83" t="str">
        <f>IF('Time Entry'!D$20="","",'Time Entry'!D$20)</f>
        <v/>
      </c>
      <c r="H71" s="83" t="str">
        <f>IF('Time Entry'!E$20="","",'Time Entry'!E$20)</f>
        <v/>
      </c>
      <c r="I71" s="83" t="str">
        <f>IF('Time Entry'!$L$20="","",'Time Entry'!$L$20)</f>
        <v/>
      </c>
      <c r="J71" s="83" t="str">
        <f>IF('Time Entry'!$F$20="","",'Time Entry'!$F$20)</f>
        <v/>
      </c>
      <c r="K71" s="77" t="str">
        <f>IF(I71="","",(IF(AND(WEEKDAY(D71)&gt;1,WEEKDAY(D71)&lt;7),(IF(I71="","",(IF(I71&gt;8,8,I71)))),0)))</f>
        <v/>
      </c>
      <c r="L71" s="88" t="str">
        <f t="shared" si="5"/>
        <v/>
      </c>
      <c r="M71" s="91" t="str">
        <f t="shared" si="6"/>
        <v/>
      </c>
      <c r="N71" s="92" t="str">
        <f t="shared" si="7"/>
        <v/>
      </c>
    </row>
    <row r="72" spans="1:14" ht="14.5">
      <c r="A72" s="76" t="str">
        <f>IF('Time Entry'!$D$7="","",'Time Entry'!$D$7)</f>
        <v>Steed Clark</v>
      </c>
      <c r="B72" s="77">
        <f>IF('Time Entry'!$F$7="","",'Time Entry'!$F$7)</f>
        <v>35</v>
      </c>
      <c r="C72" s="78">
        <f>IF('Time Entry'!$E$7="","",'Time Entry'!$E$7)</f>
        <v>44793</v>
      </c>
      <c r="D72" s="78">
        <f>IF('Time Entry'!$M$10="","",'Time Entry'!$M$10)</f>
        <v>44799</v>
      </c>
      <c r="E72" s="83">
        <f>IF('Time Entry'!$B$20="","",'Time Entry'!$B$20)</f>
        <v>5</v>
      </c>
      <c r="F72" s="83" t="str">
        <f>IF('Time Entry'!C$20="","",'Time Entry'!C$20)</f>
        <v/>
      </c>
      <c r="G72" s="83" t="str">
        <f>IF('Time Entry'!D$20="","",'Time Entry'!D$20)</f>
        <v/>
      </c>
      <c r="H72" s="83" t="str">
        <f>IF('Time Entry'!E$20="","",'Time Entry'!E$20)</f>
        <v/>
      </c>
      <c r="I72" s="83" t="str">
        <f>IF('Time Entry'!$M$20="","",'Time Entry'!$M$20)</f>
        <v/>
      </c>
      <c r="J72" s="83" t="str">
        <f>IF('Time Entry'!$F$20="","",'Time Entry'!$F$20)</f>
        <v/>
      </c>
      <c r="K72" s="77" t="str">
        <f>IF(I72="","",(IF(AND(WEEKDAY(D72)&gt;1,WEEKDAY(D72)&lt;7),(IF(I72="","",(IF(I72&gt;8,8,I72)))),0)))</f>
        <v/>
      </c>
      <c r="L72" s="88" t="str">
        <f t="shared" si="5"/>
        <v/>
      </c>
      <c r="M72" s="91" t="str">
        <f t="shared" si="6"/>
        <v/>
      </c>
      <c r="N72" s="92" t="str">
        <f t="shared" si="7"/>
        <v/>
      </c>
    </row>
    <row r="73" spans="1:14" ht="14.5">
      <c r="A73" s="76" t="str">
        <f>IF('Time Entry'!$D$7="","",'Time Entry'!$D$7)</f>
        <v>Steed Clark</v>
      </c>
      <c r="B73" s="77">
        <f>IF('Time Entry'!$F$7="","",'Time Entry'!$F$7)</f>
        <v>35</v>
      </c>
      <c r="C73" s="78">
        <f>IF('Time Entry'!$E$7="","",'Time Entry'!$E$7)</f>
        <v>44793</v>
      </c>
      <c r="D73" s="78">
        <f>IF('Time Entry'!$G$10="","",'Time Entry'!$G$10)</f>
        <v>44793</v>
      </c>
      <c r="E73" s="83">
        <f>IF('Time Entry'!$B$21="","",'Time Entry'!$B$21)</f>
        <v>6</v>
      </c>
      <c r="F73" s="83" t="str">
        <f>IF('Time Entry'!C$21="","",'Time Entry'!C$21)</f>
        <v/>
      </c>
      <c r="G73" s="83" t="str">
        <f>IF('Time Entry'!D$21="","",'Time Entry'!D$21)</f>
        <v/>
      </c>
      <c r="H73" s="83" t="str">
        <f>IF('Time Entry'!E$21="","",'Time Entry'!E$21)</f>
        <v/>
      </c>
      <c r="I73" s="83" t="str">
        <f>IF('Time Entry'!$G$21="","",'Time Entry'!$G$21)</f>
        <v/>
      </c>
      <c r="J73" s="83" t="str">
        <f>IF('Time Entry'!$F$21="","",'Time Entry'!$F$21)</f>
        <v/>
      </c>
      <c r="K73" s="77" t="str">
        <f>IF(I73="","",(IF(AND(WEEKDAY(D73)&gt;1,WEEKDAY(D73)&lt;7),(IF(I73="","",(IF(I73&gt;8,8,I73)))),0)))</f>
        <v/>
      </c>
      <c r="L73" s="88" t="str">
        <f t="shared" si="5"/>
        <v/>
      </c>
      <c r="M73" s="91" t="str">
        <f t="shared" si="6"/>
        <v/>
      </c>
      <c r="N73" s="92" t="str">
        <f t="shared" si="7"/>
        <v/>
      </c>
    </row>
    <row r="74" spans="1:14" ht="14.5">
      <c r="A74" s="76" t="str">
        <f>IF('Time Entry'!$D$7="","",'Time Entry'!$D$7)</f>
        <v>Steed Clark</v>
      </c>
      <c r="B74" s="77">
        <f>IF('Time Entry'!$F$7="","",'Time Entry'!$F$7)</f>
        <v>35</v>
      </c>
      <c r="C74" s="78">
        <f>IF('Time Entry'!$E$7="","",'Time Entry'!$E$7)</f>
        <v>44793</v>
      </c>
      <c r="D74" s="78">
        <f>IF('Time Entry'!$H$10="","",'Time Entry'!$H$10)</f>
        <v>44794</v>
      </c>
      <c r="E74" s="83">
        <f>IF('Time Entry'!$B$21="","",'Time Entry'!$B$21)</f>
        <v>6</v>
      </c>
      <c r="F74" s="83" t="str">
        <f>IF('Time Entry'!C$21="","",'Time Entry'!C$21)</f>
        <v/>
      </c>
      <c r="G74" s="83" t="str">
        <f>IF('Time Entry'!D$21="","",'Time Entry'!D$21)</f>
        <v/>
      </c>
      <c r="H74" s="83" t="str">
        <f>IF('Time Entry'!E$21="","",'Time Entry'!E$21)</f>
        <v/>
      </c>
      <c r="I74" s="83" t="str">
        <f>IF('Time Entry'!$H$21="","",'Time Entry'!$H$21)</f>
        <v/>
      </c>
      <c r="J74" s="83" t="str">
        <f>IF('Time Entry'!$F$21="","",'Time Entry'!$F$21)</f>
        <v/>
      </c>
      <c r="K74" s="77" t="str">
        <f>IF(I74="","",(IF(AND(WEEKDAY(D74)&gt;1,WEEKDAY(D74)&lt;7),(IF(I74="","",(IF(I74&gt;8,8,I74)))),0)))</f>
        <v/>
      </c>
      <c r="L74" s="88" t="str">
        <f t="shared" si="5"/>
        <v/>
      </c>
      <c r="M74" s="91" t="str">
        <f t="shared" si="6"/>
        <v/>
      </c>
      <c r="N74" s="92" t="str">
        <f t="shared" si="7"/>
        <v/>
      </c>
    </row>
    <row r="75" spans="1:14" ht="14.5">
      <c r="A75" s="76" t="str">
        <f>IF('Time Entry'!$D$7="","",'Time Entry'!$D$7)</f>
        <v>Steed Clark</v>
      </c>
      <c r="B75" s="77">
        <f>IF('Time Entry'!$F$7="","",'Time Entry'!$F$7)</f>
        <v>35</v>
      </c>
      <c r="C75" s="78">
        <f>IF('Time Entry'!$E$7="","",'Time Entry'!$E$7)</f>
        <v>44793</v>
      </c>
      <c r="D75" s="78">
        <f>IF('Time Entry'!$I$10="","",'Time Entry'!$I$10)</f>
        <v>44795</v>
      </c>
      <c r="E75" s="83">
        <f>IF('Time Entry'!$B$21="","",'Time Entry'!$B$21)</f>
        <v>6</v>
      </c>
      <c r="F75" s="83" t="str">
        <f>IF('Time Entry'!C$21="","",'Time Entry'!C$21)</f>
        <v/>
      </c>
      <c r="G75" s="83" t="str">
        <f>IF('Time Entry'!D$21="","",'Time Entry'!D$21)</f>
        <v/>
      </c>
      <c r="H75" s="83" t="str">
        <f>IF('Time Entry'!E$21="","",'Time Entry'!E$21)</f>
        <v/>
      </c>
      <c r="I75" s="83" t="str">
        <f>IF('Time Entry'!$I$21="","",'Time Entry'!$I$21)</f>
        <v/>
      </c>
      <c r="J75" s="83" t="str">
        <f>IF('Time Entry'!$F$21="","",'Time Entry'!$F$21)</f>
        <v/>
      </c>
      <c r="K75" s="77" t="str">
        <f>IF(I75="","",(IF(AND(WEEKDAY(D75)&gt;1,WEEKDAY(D75)&lt;7),(IF(I75="","",(IF(I75&gt;8,8,I75)))),0)))</f>
        <v/>
      </c>
      <c r="L75" s="88" t="str">
        <f t="shared" si="5"/>
        <v/>
      </c>
      <c r="M75" s="91" t="str">
        <f t="shared" si="6"/>
        <v/>
      </c>
      <c r="N75" s="92" t="str">
        <f t="shared" si="7"/>
        <v/>
      </c>
    </row>
    <row r="76" spans="1:14" ht="14.5">
      <c r="A76" s="76" t="str">
        <f>IF('Time Entry'!$D$7="","",'Time Entry'!$D$7)</f>
        <v>Steed Clark</v>
      </c>
      <c r="B76" s="77">
        <f>IF('Time Entry'!$F$7="","",'Time Entry'!$F$7)</f>
        <v>35</v>
      </c>
      <c r="C76" s="78">
        <f>IF('Time Entry'!$E$7="","",'Time Entry'!$E$7)</f>
        <v>44793</v>
      </c>
      <c r="D76" s="78">
        <f>IF('Time Entry'!$J$10="","",'Time Entry'!$J$10)</f>
        <v>44796</v>
      </c>
      <c r="E76" s="83">
        <f>IF('Time Entry'!$B$21="","",'Time Entry'!$B$21)</f>
        <v>6</v>
      </c>
      <c r="F76" s="83" t="str">
        <f>IF('Time Entry'!C$21="","",'Time Entry'!C$21)</f>
        <v/>
      </c>
      <c r="G76" s="83" t="str">
        <f>IF('Time Entry'!D$21="","",'Time Entry'!D$21)</f>
        <v/>
      </c>
      <c r="H76" s="83" t="str">
        <f>IF('Time Entry'!E$21="","",'Time Entry'!E$21)</f>
        <v/>
      </c>
      <c r="I76" s="83" t="str">
        <f>IF('Time Entry'!$J$21="","",'Time Entry'!$J$21)</f>
        <v/>
      </c>
      <c r="J76" s="83" t="str">
        <f>IF('Time Entry'!$F$21="","",'Time Entry'!$F$21)</f>
        <v/>
      </c>
      <c r="K76" s="77" t="str">
        <f>IF(I76="","",(IF(AND(WEEKDAY(D76)&gt;1,WEEKDAY(D76)&lt;7),(IF(I76="","",(IF(I76&gt;8,8,I76)))),0)))</f>
        <v/>
      </c>
      <c r="L76" s="88" t="str">
        <f t="shared" si="5"/>
        <v/>
      </c>
      <c r="M76" s="91" t="str">
        <f t="shared" si="6"/>
        <v/>
      </c>
      <c r="N76" s="92" t="str">
        <f t="shared" si="7"/>
        <v/>
      </c>
    </row>
    <row r="77" spans="1:14" ht="14.5">
      <c r="A77" s="76" t="str">
        <f>IF('Time Entry'!$D$7="","",'Time Entry'!$D$7)</f>
        <v>Steed Clark</v>
      </c>
      <c r="B77" s="77">
        <f>IF('Time Entry'!$F$7="","",'Time Entry'!$F$7)</f>
        <v>35</v>
      </c>
      <c r="C77" s="78">
        <f>IF('Time Entry'!$E$7="","",'Time Entry'!$E$7)</f>
        <v>44793</v>
      </c>
      <c r="D77" s="78">
        <f>IF('Time Entry'!$K$10="","",'Time Entry'!$K$10)</f>
        <v>44797</v>
      </c>
      <c r="E77" s="83">
        <f>IF('Time Entry'!$B$21="","",'Time Entry'!$B$21)</f>
        <v>6</v>
      </c>
      <c r="F77" s="83" t="str">
        <f>IF('Time Entry'!C$21="","",'Time Entry'!C$21)</f>
        <v/>
      </c>
      <c r="G77" s="83" t="str">
        <f>IF('Time Entry'!D$21="","",'Time Entry'!D$21)</f>
        <v/>
      </c>
      <c r="H77" s="83" t="str">
        <f>IF('Time Entry'!E$21="","",'Time Entry'!E$21)</f>
        <v/>
      </c>
      <c r="I77" s="83" t="str">
        <f>IF('Time Entry'!$K$21="","",'Time Entry'!$K$21)</f>
        <v/>
      </c>
      <c r="J77" s="83" t="str">
        <f>IF('Time Entry'!$F$21="","",'Time Entry'!$F$21)</f>
        <v/>
      </c>
      <c r="K77" s="77" t="str">
        <f>IF(I77="","",(IF(AND(WEEKDAY(D77)&gt;1,WEEKDAY(D77)&lt;7),(IF(I77="","",(IF(I77&gt;8,8,I77)))),0)))</f>
        <v/>
      </c>
      <c r="L77" s="88" t="str">
        <f t="shared" si="5"/>
        <v/>
      </c>
      <c r="M77" s="91" t="str">
        <f t="shared" si="6"/>
        <v/>
      </c>
      <c r="N77" s="92" t="str">
        <f t="shared" si="7"/>
        <v/>
      </c>
    </row>
    <row r="78" spans="1:14" ht="14.5">
      <c r="A78" s="76" t="str">
        <f>IF('Time Entry'!$D$7="","",'Time Entry'!$D$7)</f>
        <v>Steed Clark</v>
      </c>
      <c r="B78" s="77">
        <f>IF('Time Entry'!$F$7="","",'Time Entry'!$F$7)</f>
        <v>35</v>
      </c>
      <c r="C78" s="78">
        <f>IF('Time Entry'!$E$7="","",'Time Entry'!$E$7)</f>
        <v>44793</v>
      </c>
      <c r="D78" s="78">
        <f>IF('Time Entry'!$L$10="","",'Time Entry'!$L$10)</f>
        <v>44798</v>
      </c>
      <c r="E78" s="83">
        <f>IF('Time Entry'!$B$21="","",'Time Entry'!$B$21)</f>
        <v>6</v>
      </c>
      <c r="F78" s="83" t="str">
        <f>IF('Time Entry'!C$21="","",'Time Entry'!C$21)</f>
        <v/>
      </c>
      <c r="G78" s="83" t="str">
        <f>IF('Time Entry'!D$21="","",'Time Entry'!D$21)</f>
        <v/>
      </c>
      <c r="H78" s="83" t="str">
        <f>IF('Time Entry'!E$21="","",'Time Entry'!E$21)</f>
        <v/>
      </c>
      <c r="I78" s="83" t="str">
        <f>IF('Time Entry'!$L$21="","",'Time Entry'!$L$21)</f>
        <v/>
      </c>
      <c r="J78" s="83" t="str">
        <f>IF('Time Entry'!$F$21="","",'Time Entry'!$F$21)</f>
        <v/>
      </c>
      <c r="K78" s="77" t="str">
        <f>IF(I78="","",(IF(AND(WEEKDAY(D78)&gt;1,WEEKDAY(D78)&lt;7),(IF(I78="","",(IF(I78&gt;8,8,I78)))),0)))</f>
        <v/>
      </c>
      <c r="L78" s="88" t="str">
        <f t="shared" si="5"/>
        <v/>
      </c>
      <c r="M78" s="91" t="str">
        <f t="shared" si="6"/>
        <v/>
      </c>
      <c r="N78" s="92" t="str">
        <f t="shared" si="7"/>
        <v/>
      </c>
    </row>
    <row r="79" spans="1:14" ht="14.5">
      <c r="A79" s="76" t="str">
        <f>IF('Time Entry'!$D$7="","",'Time Entry'!$D$7)</f>
        <v>Steed Clark</v>
      </c>
      <c r="B79" s="77">
        <f>IF('Time Entry'!$F$7="","",'Time Entry'!$F$7)</f>
        <v>35</v>
      </c>
      <c r="C79" s="78">
        <f>IF('Time Entry'!$E$7="","",'Time Entry'!$E$7)</f>
        <v>44793</v>
      </c>
      <c r="D79" s="78">
        <f>IF('Time Entry'!$M$10="","",'Time Entry'!$M$10)</f>
        <v>44799</v>
      </c>
      <c r="E79" s="83">
        <f>IF('Time Entry'!$B$21="","",'Time Entry'!$B$21)</f>
        <v>6</v>
      </c>
      <c r="F79" s="83" t="str">
        <f>IF('Time Entry'!C$21="","",'Time Entry'!C$21)</f>
        <v/>
      </c>
      <c r="G79" s="83" t="str">
        <f>IF('Time Entry'!D$21="","",'Time Entry'!D$21)</f>
        <v/>
      </c>
      <c r="H79" s="83" t="str">
        <f>IF('Time Entry'!E$21="","",'Time Entry'!E$21)</f>
        <v/>
      </c>
      <c r="I79" s="83" t="str">
        <f>IF('Time Entry'!$M$21="","",'Time Entry'!$M$21)</f>
        <v/>
      </c>
      <c r="J79" s="83" t="str">
        <f>IF('Time Entry'!$F$21="","",'Time Entry'!$F$21)</f>
        <v/>
      </c>
      <c r="K79" s="77" t="str">
        <f>IF(I79="","",(IF(AND(WEEKDAY(D79)&gt;1,WEEKDAY(D79)&lt;7),(IF(I79="","",(IF(I79&gt;8,8,I79)))),0)))</f>
        <v/>
      </c>
      <c r="L79" s="88" t="str">
        <f t="shared" si="5"/>
        <v/>
      </c>
      <c r="M79" s="91" t="str">
        <f t="shared" si="6"/>
        <v/>
      </c>
      <c r="N79" s="92" t="str">
        <f t="shared" si="7"/>
        <v/>
      </c>
    </row>
    <row r="80" spans="1:14" ht="14.5">
      <c r="A80" s="76" t="str">
        <f>IF('Time Entry'!$D$7="","",'Time Entry'!$D$7)</f>
        <v>Steed Clark</v>
      </c>
      <c r="B80" s="77">
        <f>IF('Time Entry'!$F$7="","",'Time Entry'!$F$7)</f>
        <v>35</v>
      </c>
      <c r="C80" s="78">
        <f>IF('Time Entry'!$E$7="","",'Time Entry'!$E$7)</f>
        <v>44793</v>
      </c>
      <c r="D80" s="78">
        <f>IF('Time Entry'!$G$10="","",'Time Entry'!$G$10)</f>
        <v>44793</v>
      </c>
      <c r="E80" s="83">
        <f>IF('Time Entry'!$B$22="","",'Time Entry'!$B$22)</f>
        <v>7</v>
      </c>
      <c r="F80" s="83" t="str">
        <f>IF('Time Entry'!C$22="","",'Time Entry'!C$22)</f>
        <v/>
      </c>
      <c r="G80" s="83" t="str">
        <f>IF('Time Entry'!D$22="","",'Time Entry'!D$22)</f>
        <v/>
      </c>
      <c r="H80" s="83" t="str">
        <f>IF('Time Entry'!E$22="","",'Time Entry'!E$22)</f>
        <v/>
      </c>
      <c r="I80" s="83" t="str">
        <f>IF('Time Entry'!$G$22="","",'Time Entry'!$G$22)</f>
        <v/>
      </c>
      <c r="J80" s="83" t="str">
        <f>IF('Time Entry'!$F$22="","",'Time Entry'!$F$22)</f>
        <v/>
      </c>
      <c r="K80" s="77" t="str">
        <f>IF(I80="","",(IF(AND(WEEKDAY(D80)&gt;1,WEEKDAY(D80)&lt;7),(IF(I80="","",(IF(I80&gt;8,8,I80)))),0)))</f>
        <v/>
      </c>
      <c r="L80" s="88" t="str">
        <f t="shared" si="5"/>
        <v/>
      </c>
      <c r="M80" s="91" t="str">
        <f t="shared" si="6"/>
        <v/>
      </c>
      <c r="N80" s="92" t="str">
        <f t="shared" si="7"/>
        <v/>
      </c>
    </row>
    <row r="81" spans="1:14" ht="14.5">
      <c r="A81" s="76" t="str">
        <f>IF('Time Entry'!$D$7="","",'Time Entry'!$D$7)</f>
        <v>Steed Clark</v>
      </c>
      <c r="B81" s="77">
        <f>IF('Time Entry'!$F$7="","",'Time Entry'!$F$7)</f>
        <v>35</v>
      </c>
      <c r="C81" s="78">
        <f>IF('Time Entry'!$E$7="","",'Time Entry'!$E$7)</f>
        <v>44793</v>
      </c>
      <c r="D81" s="78">
        <f>IF('Time Entry'!$H$10="","",'Time Entry'!$H$10)</f>
        <v>44794</v>
      </c>
      <c r="E81" s="83">
        <f>IF('Time Entry'!$B$22="","",'Time Entry'!$B$22)</f>
        <v>7</v>
      </c>
      <c r="F81" s="83" t="str">
        <f>IF('Time Entry'!C$22="","",'Time Entry'!C$22)</f>
        <v/>
      </c>
      <c r="G81" s="83" t="str">
        <f>IF('Time Entry'!D$22="","",'Time Entry'!D$22)</f>
        <v/>
      </c>
      <c r="H81" s="83" t="str">
        <f>IF('Time Entry'!E$22="","",'Time Entry'!E$22)</f>
        <v/>
      </c>
      <c r="I81" s="83" t="str">
        <f>IF('Time Entry'!$H$22="","",'Time Entry'!$H$22)</f>
        <v/>
      </c>
      <c r="J81" s="83" t="str">
        <f>IF('Time Entry'!$F$22="","",'Time Entry'!$F$22)</f>
        <v/>
      </c>
      <c r="K81" s="77" t="str">
        <f>IF(I81="","",(IF(AND(WEEKDAY(D81)&gt;1,WEEKDAY(D81)&lt;7),(IF(I81="","",(IF(I81&gt;8,8,I81)))),0)))</f>
        <v/>
      </c>
      <c r="L81" s="88" t="str">
        <f t="shared" si="5"/>
        <v/>
      </c>
      <c r="M81" s="91" t="str">
        <f t="shared" si="6"/>
        <v/>
      </c>
      <c r="N81" s="92" t="str">
        <f t="shared" si="7"/>
        <v/>
      </c>
    </row>
    <row r="82" spans="1:14" ht="14.5">
      <c r="A82" s="76" t="str">
        <f>IF('Time Entry'!$D$7="","",'Time Entry'!$D$7)</f>
        <v>Steed Clark</v>
      </c>
      <c r="B82" s="77">
        <f>IF('Time Entry'!$F$7="","",'Time Entry'!$F$7)</f>
        <v>35</v>
      </c>
      <c r="C82" s="78">
        <f>IF('Time Entry'!$E$7="","",'Time Entry'!$E$7)</f>
        <v>44793</v>
      </c>
      <c r="D82" s="78">
        <f>IF('Time Entry'!$I$10="","",'Time Entry'!$I$10)</f>
        <v>44795</v>
      </c>
      <c r="E82" s="83">
        <f>IF('Time Entry'!$B$22="","",'Time Entry'!$B$22)</f>
        <v>7</v>
      </c>
      <c r="F82" s="83" t="str">
        <f>IF('Time Entry'!C$22="","",'Time Entry'!C$22)</f>
        <v/>
      </c>
      <c r="G82" s="83" t="str">
        <f>IF('Time Entry'!D$22="","",'Time Entry'!D$22)</f>
        <v/>
      </c>
      <c r="H82" s="83" t="str">
        <f>IF('Time Entry'!E$22="","",'Time Entry'!E$22)</f>
        <v/>
      </c>
      <c r="I82" s="83" t="str">
        <f>IF('Time Entry'!$I$22="","",'Time Entry'!$I$22)</f>
        <v/>
      </c>
      <c r="J82" s="83" t="str">
        <f>IF('Time Entry'!$F$22="","",'Time Entry'!$F$22)</f>
        <v/>
      </c>
      <c r="K82" s="77" t="str">
        <f>IF(I82="","",(IF(AND(WEEKDAY(D82)&gt;1,WEEKDAY(D82)&lt;7),(IF(I82="","",(IF(I82&gt;8,8,I82)))),0)))</f>
        <v/>
      </c>
      <c r="L82" s="88" t="str">
        <f t="shared" si="5"/>
        <v/>
      </c>
      <c r="M82" s="91" t="str">
        <f t="shared" si="6"/>
        <v/>
      </c>
      <c r="N82" s="92" t="str">
        <f t="shared" si="7"/>
        <v/>
      </c>
    </row>
    <row r="83" spans="1:14" ht="14.5">
      <c r="A83" s="76" t="str">
        <f>IF('Time Entry'!$D$7="","",'Time Entry'!$D$7)</f>
        <v>Steed Clark</v>
      </c>
      <c r="B83" s="77">
        <f>IF('Time Entry'!$F$7="","",'Time Entry'!$F$7)</f>
        <v>35</v>
      </c>
      <c r="C83" s="78">
        <f>IF('Time Entry'!$E$7="","",'Time Entry'!$E$7)</f>
        <v>44793</v>
      </c>
      <c r="D83" s="78">
        <f>IF('Time Entry'!$J$10="","",'Time Entry'!$J$10)</f>
        <v>44796</v>
      </c>
      <c r="E83" s="83">
        <f>IF('Time Entry'!$B$22="","",'Time Entry'!$B$22)</f>
        <v>7</v>
      </c>
      <c r="F83" s="83" t="str">
        <f>IF('Time Entry'!C$22="","",'Time Entry'!C$22)</f>
        <v/>
      </c>
      <c r="G83" s="83" t="str">
        <f>IF('Time Entry'!D$22="","",'Time Entry'!D$22)</f>
        <v/>
      </c>
      <c r="H83" s="83" t="str">
        <f>IF('Time Entry'!E$22="","",'Time Entry'!E$22)</f>
        <v/>
      </c>
      <c r="I83" s="83" t="str">
        <f>IF('Time Entry'!$J$22="","",'Time Entry'!$J$22)</f>
        <v/>
      </c>
      <c r="J83" s="83" t="str">
        <f>IF('Time Entry'!$F$22="","",'Time Entry'!$F$22)</f>
        <v/>
      </c>
      <c r="K83" s="77" t="str">
        <f>IF(I83="","",(IF(AND(WEEKDAY(D83)&gt;1,WEEKDAY(D83)&lt;7),(IF(I83="","",(IF(I83&gt;8,8,I83)))),0)))</f>
        <v/>
      </c>
      <c r="L83" s="88" t="str">
        <f t="shared" si="5"/>
        <v/>
      </c>
      <c r="M83" s="91" t="str">
        <f t="shared" si="6"/>
        <v/>
      </c>
      <c r="N83" s="92" t="str">
        <f t="shared" si="7"/>
        <v/>
      </c>
    </row>
    <row r="84" spans="1:14" ht="14.5">
      <c r="A84" s="76" t="str">
        <f>IF('Time Entry'!$D$7="","",'Time Entry'!$D$7)</f>
        <v>Steed Clark</v>
      </c>
      <c r="B84" s="77">
        <f>IF('Time Entry'!$F$7="","",'Time Entry'!$F$7)</f>
        <v>35</v>
      </c>
      <c r="C84" s="78">
        <f>IF('Time Entry'!$E$7="","",'Time Entry'!$E$7)</f>
        <v>44793</v>
      </c>
      <c r="D84" s="78">
        <f>IF('Time Entry'!$K$10="","",'Time Entry'!$K$10)</f>
        <v>44797</v>
      </c>
      <c r="E84" s="83">
        <f>IF('Time Entry'!$B$22="","",'Time Entry'!$B$22)</f>
        <v>7</v>
      </c>
      <c r="F84" s="83" t="str">
        <f>IF('Time Entry'!C$22="","",'Time Entry'!C$22)</f>
        <v/>
      </c>
      <c r="G84" s="83" t="str">
        <f>IF('Time Entry'!D$22="","",'Time Entry'!D$22)</f>
        <v/>
      </c>
      <c r="H84" s="83" t="str">
        <f>IF('Time Entry'!E$22="","",'Time Entry'!E$22)</f>
        <v/>
      </c>
      <c r="I84" s="83" t="str">
        <f>IF('Time Entry'!$K$22="","",'Time Entry'!$K$22)</f>
        <v/>
      </c>
      <c r="J84" s="83" t="str">
        <f>IF('Time Entry'!$F$22="","",'Time Entry'!$F$22)</f>
        <v/>
      </c>
      <c r="K84" s="77" t="str">
        <f>IF(I84="","",(IF(AND(WEEKDAY(D84)&gt;1,WEEKDAY(D84)&lt;7),(IF(I84="","",(IF(I84&gt;8,8,I84)))),0)))</f>
        <v/>
      </c>
      <c r="L84" s="88" t="str">
        <f t="shared" si="5"/>
        <v/>
      </c>
      <c r="M84" s="91" t="str">
        <f t="shared" si="6"/>
        <v/>
      </c>
      <c r="N84" s="92" t="str">
        <f t="shared" si="7"/>
        <v/>
      </c>
    </row>
    <row r="85" spans="1:14" ht="14.5">
      <c r="A85" s="76" t="str">
        <f>IF('Time Entry'!$D$7="","",'Time Entry'!$D$7)</f>
        <v>Steed Clark</v>
      </c>
      <c r="B85" s="77">
        <f>IF('Time Entry'!$F$7="","",'Time Entry'!$F$7)</f>
        <v>35</v>
      </c>
      <c r="C85" s="78">
        <f>IF('Time Entry'!$E$7="","",'Time Entry'!$E$7)</f>
        <v>44793</v>
      </c>
      <c r="D85" s="78">
        <f>IF('Time Entry'!$L$10="","",'Time Entry'!$L$10)</f>
        <v>44798</v>
      </c>
      <c r="E85" s="83">
        <f>IF('Time Entry'!$B$22="","",'Time Entry'!$B$22)</f>
        <v>7</v>
      </c>
      <c r="F85" s="83" t="str">
        <f>IF('Time Entry'!C$22="","",'Time Entry'!C$22)</f>
        <v/>
      </c>
      <c r="G85" s="83" t="str">
        <f>IF('Time Entry'!D$22="","",'Time Entry'!D$22)</f>
        <v/>
      </c>
      <c r="H85" s="83" t="str">
        <f>IF('Time Entry'!E$22="","",'Time Entry'!E$22)</f>
        <v/>
      </c>
      <c r="I85" s="83" t="str">
        <f>IF('Time Entry'!$L$22="","",'Time Entry'!$L$22)</f>
        <v/>
      </c>
      <c r="J85" s="83" t="str">
        <f>IF('Time Entry'!$F$22="","",'Time Entry'!$F$22)</f>
        <v/>
      </c>
      <c r="K85" s="77" t="str">
        <f>IF(I85="","",(IF(AND(WEEKDAY(D85)&gt;1,WEEKDAY(D85)&lt;7),(IF(I85="","",(IF(I85&gt;8,8,I85)))),0)))</f>
        <v/>
      </c>
      <c r="L85" s="88" t="str">
        <f t="shared" si="5"/>
        <v/>
      </c>
      <c r="M85" s="91" t="str">
        <f t="shared" si="6"/>
        <v/>
      </c>
      <c r="N85" s="92" t="str">
        <f t="shared" si="7"/>
        <v/>
      </c>
    </row>
    <row r="86" spans="1:14" ht="14.5">
      <c r="A86" s="76" t="str">
        <f>IF('Time Entry'!$D$7="","",'Time Entry'!$D$7)</f>
        <v>Steed Clark</v>
      </c>
      <c r="B86" s="77">
        <f>IF('Time Entry'!$F$7="","",'Time Entry'!$F$7)</f>
        <v>35</v>
      </c>
      <c r="C86" s="78">
        <f>IF('Time Entry'!$E$7="","",'Time Entry'!$E$7)</f>
        <v>44793</v>
      </c>
      <c r="D86" s="78">
        <f>IF('Time Entry'!$M$10="","",'Time Entry'!$M$10)</f>
        <v>44799</v>
      </c>
      <c r="E86" s="83">
        <f>IF('Time Entry'!$B$22="","",'Time Entry'!$B$22)</f>
        <v>7</v>
      </c>
      <c r="F86" s="83" t="str">
        <f>IF('Time Entry'!C$22="","",'Time Entry'!C$22)</f>
        <v/>
      </c>
      <c r="G86" s="83" t="str">
        <f>IF('Time Entry'!D$22="","",'Time Entry'!D$22)</f>
        <v/>
      </c>
      <c r="H86" s="83" t="str">
        <f>IF('Time Entry'!E$22="","",'Time Entry'!E$22)</f>
        <v/>
      </c>
      <c r="I86" s="83" t="str">
        <f>IF('Time Entry'!$M$22="","",'Time Entry'!$M$22)</f>
        <v/>
      </c>
      <c r="J86" s="83" t="str">
        <f>IF('Time Entry'!$F$22="","",'Time Entry'!$F$22)</f>
        <v/>
      </c>
      <c r="K86" s="77" t="str">
        <f>IF(I86="","",(IF(AND(WEEKDAY(D86)&gt;1,WEEKDAY(D86)&lt;7),(IF(I86="","",(IF(I86&gt;8,8,I86)))),0)))</f>
        <v/>
      </c>
      <c r="L86" s="88" t="str">
        <f t="shared" si="5"/>
        <v/>
      </c>
      <c r="M86" s="91" t="str">
        <f t="shared" si="6"/>
        <v/>
      </c>
      <c r="N86" s="92" t="str">
        <f t="shared" si="7"/>
        <v/>
      </c>
    </row>
    <row r="87" spans="1:14" ht="14.5">
      <c r="A87" s="76" t="str">
        <f>IF('Time Entry'!$D$7="","",'Time Entry'!$D$7)</f>
        <v>Steed Clark</v>
      </c>
      <c r="B87" s="77">
        <f>IF('Time Entry'!$F$7="","",'Time Entry'!$F$7)</f>
        <v>35</v>
      </c>
      <c r="C87" s="78">
        <f>IF('Time Entry'!$E$7="","",'Time Entry'!$E$7)</f>
        <v>44793</v>
      </c>
      <c r="D87" s="78">
        <f>IF('Time Entry'!$G$10="","",'Time Entry'!$G$10)</f>
        <v>44793</v>
      </c>
      <c r="E87" s="83">
        <f>IF('Time Entry'!$B$23="","",'Time Entry'!$B$23)</f>
        <v>8</v>
      </c>
      <c r="F87" s="83" t="str">
        <f>IF('Time Entry'!C$23="","",'Time Entry'!C$23)</f>
        <v/>
      </c>
      <c r="G87" s="83" t="str">
        <f>IF('Time Entry'!D$23="","",'Time Entry'!D$23)</f>
        <v/>
      </c>
      <c r="H87" s="83" t="str">
        <f>IF('Time Entry'!E$23="","",'Time Entry'!E$23)</f>
        <v/>
      </c>
      <c r="I87" s="83" t="str">
        <f>IF('Time Entry'!$G$23="","",'Time Entry'!$G$23)</f>
        <v/>
      </c>
      <c r="J87" s="83" t="str">
        <f>IF('Time Entry'!$F$23="","",'Time Entry'!$F$23)</f>
        <v/>
      </c>
      <c r="K87" s="77" t="str">
        <f>IF(I87="","",(IF(AND(WEEKDAY(D87)&gt;1,WEEKDAY(D87)&lt;7),(IF(I87="","",(IF(I87&gt;8,8,I87)))),0)))</f>
        <v/>
      </c>
      <c r="L87" s="88" t="str">
        <f t="shared" si="5"/>
        <v/>
      </c>
      <c r="M87" s="91" t="str">
        <f t="shared" si="6"/>
        <v/>
      </c>
      <c r="N87" s="92" t="str">
        <f t="shared" si="7"/>
        <v/>
      </c>
    </row>
    <row r="88" spans="1:14" ht="14.5">
      <c r="A88" s="76" t="str">
        <f>IF('Time Entry'!$D$7="","",'Time Entry'!$D$7)</f>
        <v>Steed Clark</v>
      </c>
      <c r="B88" s="77">
        <f>IF('Time Entry'!$F$7="","",'Time Entry'!$F$7)</f>
        <v>35</v>
      </c>
      <c r="C88" s="78">
        <f>IF('Time Entry'!$E$7="","",'Time Entry'!$E$7)</f>
        <v>44793</v>
      </c>
      <c r="D88" s="78">
        <f>IF('Time Entry'!$H$10="","",'Time Entry'!$H$10)</f>
        <v>44794</v>
      </c>
      <c r="E88" s="83">
        <f>IF('Time Entry'!$B$23="","",'Time Entry'!$B$23)</f>
        <v>8</v>
      </c>
      <c r="F88" s="83" t="str">
        <f>IF('Time Entry'!C$23="","",'Time Entry'!C$23)</f>
        <v/>
      </c>
      <c r="G88" s="83" t="str">
        <f>IF('Time Entry'!D$23="","",'Time Entry'!D$23)</f>
        <v/>
      </c>
      <c r="H88" s="83" t="str">
        <f>IF('Time Entry'!E$23="","",'Time Entry'!E$23)</f>
        <v/>
      </c>
      <c r="I88" s="83" t="str">
        <f>IF('Time Entry'!$H$23="","",'Time Entry'!$H$23)</f>
        <v/>
      </c>
      <c r="J88" s="83" t="str">
        <f>IF('Time Entry'!$F$23="","",'Time Entry'!$F$23)</f>
        <v/>
      </c>
      <c r="K88" s="77" t="str">
        <f>IF(I88="","",(IF(AND(WEEKDAY(D88)&gt;1,WEEKDAY(D88)&lt;7),(IF(I88="","",(IF(I88&gt;8,8,I88)))),0)))</f>
        <v/>
      </c>
      <c r="L88" s="88" t="str">
        <f t="shared" si="5"/>
        <v/>
      </c>
      <c r="M88" s="91" t="str">
        <f t="shared" si="6"/>
        <v/>
      </c>
      <c r="N88" s="92" t="str">
        <f t="shared" si="7"/>
        <v/>
      </c>
    </row>
    <row r="89" spans="1:14" ht="14.5">
      <c r="A89" s="76" t="str">
        <f>IF('Time Entry'!$D$7="","",'Time Entry'!$D$7)</f>
        <v>Steed Clark</v>
      </c>
      <c r="B89" s="77">
        <f>IF('Time Entry'!$F$7="","",'Time Entry'!$F$7)</f>
        <v>35</v>
      </c>
      <c r="C89" s="78">
        <f>IF('Time Entry'!$E$7="","",'Time Entry'!$E$7)</f>
        <v>44793</v>
      </c>
      <c r="D89" s="78">
        <f>IF('Time Entry'!$I$10="","",'Time Entry'!$I$10)</f>
        <v>44795</v>
      </c>
      <c r="E89" s="83">
        <f>IF('Time Entry'!$B$23="","",'Time Entry'!$B$23)</f>
        <v>8</v>
      </c>
      <c r="F89" s="83" t="str">
        <f>IF('Time Entry'!C$23="","",'Time Entry'!C$23)</f>
        <v/>
      </c>
      <c r="G89" s="83" t="str">
        <f>IF('Time Entry'!D$23="","",'Time Entry'!D$23)</f>
        <v/>
      </c>
      <c r="H89" s="83" t="str">
        <f>IF('Time Entry'!E$23="","",'Time Entry'!E$23)</f>
        <v/>
      </c>
      <c r="I89" s="83" t="str">
        <f>IF('Time Entry'!$I$23="","",'Time Entry'!$I$23)</f>
        <v/>
      </c>
      <c r="J89" s="83" t="str">
        <f>IF('Time Entry'!$F$23="","",'Time Entry'!$F$23)</f>
        <v/>
      </c>
      <c r="K89" s="77" t="str">
        <f>IF(I89="","",(IF(AND(WEEKDAY(D89)&gt;1,WEEKDAY(D89)&lt;7),(IF(I89="","",(IF(I89&gt;8,8,I89)))),0)))</f>
        <v/>
      </c>
      <c r="L89" s="88" t="str">
        <f t="shared" si="5"/>
        <v/>
      </c>
      <c r="M89" s="91" t="str">
        <f t="shared" si="6"/>
        <v/>
      </c>
      <c r="N89" s="92" t="str">
        <f t="shared" si="7"/>
        <v/>
      </c>
    </row>
    <row r="90" spans="1:14" ht="14.5">
      <c r="A90" s="76" t="str">
        <f>IF('Time Entry'!$D$7="","",'Time Entry'!$D$7)</f>
        <v>Steed Clark</v>
      </c>
      <c r="B90" s="77">
        <f>IF('Time Entry'!$F$7="","",'Time Entry'!$F$7)</f>
        <v>35</v>
      </c>
      <c r="C90" s="78">
        <f>IF('Time Entry'!$E$7="","",'Time Entry'!$E$7)</f>
        <v>44793</v>
      </c>
      <c r="D90" s="78">
        <f>IF('Time Entry'!$J$10="","",'Time Entry'!$J$10)</f>
        <v>44796</v>
      </c>
      <c r="E90" s="83">
        <f>IF('Time Entry'!$B$23="","",'Time Entry'!$B$23)</f>
        <v>8</v>
      </c>
      <c r="F90" s="83" t="str">
        <f>IF('Time Entry'!C$23="","",'Time Entry'!C$23)</f>
        <v/>
      </c>
      <c r="G90" s="83" t="str">
        <f>IF('Time Entry'!D$23="","",'Time Entry'!D$23)</f>
        <v/>
      </c>
      <c r="H90" s="83" t="str">
        <f>IF('Time Entry'!E$23="","",'Time Entry'!E$23)</f>
        <v/>
      </c>
      <c r="I90" s="83" t="str">
        <f>IF('Time Entry'!$J$23="","",'Time Entry'!$J$23)</f>
        <v/>
      </c>
      <c r="J90" s="83" t="str">
        <f>IF('Time Entry'!$F$23="","",'Time Entry'!$F$23)</f>
        <v/>
      </c>
      <c r="K90" s="77" t="str">
        <f>IF(I90="","",(IF(AND(WEEKDAY(D90)&gt;1,WEEKDAY(D90)&lt;7),(IF(I90="","",(IF(I90&gt;8,8,I90)))),0)))</f>
        <v/>
      </c>
      <c r="L90" s="88" t="str">
        <f t="shared" si="5"/>
        <v/>
      </c>
      <c r="M90" s="91" t="str">
        <f t="shared" si="6"/>
        <v/>
      </c>
      <c r="N90" s="92" t="str">
        <f t="shared" si="7"/>
        <v/>
      </c>
    </row>
    <row r="91" spans="1:14" ht="14.5">
      <c r="A91" s="76" t="str">
        <f>IF('Time Entry'!$D$7="","",'Time Entry'!$D$7)</f>
        <v>Steed Clark</v>
      </c>
      <c r="B91" s="77">
        <f>IF('Time Entry'!$F$7="","",'Time Entry'!$F$7)</f>
        <v>35</v>
      </c>
      <c r="C91" s="78">
        <f>IF('Time Entry'!$E$7="","",'Time Entry'!$E$7)</f>
        <v>44793</v>
      </c>
      <c r="D91" s="78">
        <f>IF('Time Entry'!$K$10="","",'Time Entry'!$K$10)</f>
        <v>44797</v>
      </c>
      <c r="E91" s="83">
        <f>IF('Time Entry'!$B$23="","",'Time Entry'!$B$23)</f>
        <v>8</v>
      </c>
      <c r="F91" s="83" t="str">
        <f>IF('Time Entry'!C$23="","",'Time Entry'!C$23)</f>
        <v/>
      </c>
      <c r="G91" s="83" t="str">
        <f>IF('Time Entry'!D$23="","",'Time Entry'!D$23)</f>
        <v/>
      </c>
      <c r="H91" s="83" t="str">
        <f>IF('Time Entry'!E$23="","",'Time Entry'!E$23)</f>
        <v/>
      </c>
      <c r="I91" s="83" t="str">
        <f>IF('Time Entry'!$K$23="","",'Time Entry'!$K$23)</f>
        <v/>
      </c>
      <c r="J91" s="83" t="str">
        <f>IF('Time Entry'!$F$23="","",'Time Entry'!$F$23)</f>
        <v/>
      </c>
      <c r="K91" s="77" t="str">
        <f>IF(I91="","",(IF(AND(WEEKDAY(D91)&gt;1,WEEKDAY(D91)&lt;7),(IF(I91="","",(IF(I91&gt;8,8,I91)))),0)))</f>
        <v/>
      </c>
      <c r="L91" s="88" t="str">
        <f t="shared" si="5"/>
        <v/>
      </c>
      <c r="M91" s="91" t="str">
        <f t="shared" si="6"/>
        <v/>
      </c>
      <c r="N91" s="92" t="str">
        <f t="shared" si="7"/>
        <v/>
      </c>
    </row>
    <row r="92" spans="1:14" ht="14.5">
      <c r="A92" s="76" t="str">
        <f>IF('Time Entry'!$D$7="","",'Time Entry'!$D$7)</f>
        <v>Steed Clark</v>
      </c>
      <c r="B92" s="77">
        <f>IF('Time Entry'!$F$7="","",'Time Entry'!$F$7)</f>
        <v>35</v>
      </c>
      <c r="C92" s="78">
        <f>IF('Time Entry'!$E$7="","",'Time Entry'!$E$7)</f>
        <v>44793</v>
      </c>
      <c r="D92" s="78">
        <f>IF('Time Entry'!$L$10="","",'Time Entry'!$L$10)</f>
        <v>44798</v>
      </c>
      <c r="E92" s="83">
        <f>IF('Time Entry'!$B$23="","",'Time Entry'!$B$23)</f>
        <v>8</v>
      </c>
      <c r="F92" s="83" t="str">
        <f>IF('Time Entry'!C$23="","",'Time Entry'!C$23)</f>
        <v/>
      </c>
      <c r="G92" s="83" t="str">
        <f>IF('Time Entry'!D$23="","",'Time Entry'!D$23)</f>
        <v/>
      </c>
      <c r="H92" s="83" t="str">
        <f>IF('Time Entry'!E$23="","",'Time Entry'!E$23)</f>
        <v/>
      </c>
      <c r="I92" s="83" t="str">
        <f>IF('Time Entry'!$L$23="","",'Time Entry'!$L$23)</f>
        <v/>
      </c>
      <c r="J92" s="83" t="str">
        <f>IF('Time Entry'!$F$23="","",'Time Entry'!$F$23)</f>
        <v/>
      </c>
      <c r="K92" s="77" t="str">
        <f>IF(I92="","",(IF(AND(WEEKDAY(D92)&gt;1,WEEKDAY(D92)&lt;7),(IF(I92="","",(IF(I92&gt;8,8,I92)))),0)))</f>
        <v/>
      </c>
      <c r="L92" s="88" t="str">
        <f t="shared" si="5"/>
        <v/>
      </c>
      <c r="M92" s="91" t="str">
        <f t="shared" si="6"/>
        <v/>
      </c>
      <c r="N92" s="92" t="str">
        <f t="shared" si="7"/>
        <v/>
      </c>
    </row>
    <row r="93" spans="1:14" ht="14.5">
      <c r="A93" s="76" t="str">
        <f>IF('Time Entry'!$D$7="","",'Time Entry'!$D$7)</f>
        <v>Steed Clark</v>
      </c>
      <c r="B93" s="77">
        <f>IF('Time Entry'!$F$7="","",'Time Entry'!$F$7)</f>
        <v>35</v>
      </c>
      <c r="C93" s="78">
        <f>IF('Time Entry'!$E$7="","",'Time Entry'!$E$7)</f>
        <v>44793</v>
      </c>
      <c r="D93" s="78">
        <f>IF('Time Entry'!$M$10="","",'Time Entry'!$M$10)</f>
        <v>44799</v>
      </c>
      <c r="E93" s="83">
        <f>IF('Time Entry'!$B$23="","",'Time Entry'!$B$23)</f>
        <v>8</v>
      </c>
      <c r="F93" s="83" t="str">
        <f>IF('Time Entry'!C$23="","",'Time Entry'!C$23)</f>
        <v/>
      </c>
      <c r="G93" s="83" t="str">
        <f>IF('Time Entry'!D$23="","",'Time Entry'!D$23)</f>
        <v/>
      </c>
      <c r="H93" s="83" t="str">
        <f>IF('Time Entry'!E$23="","",'Time Entry'!E$23)</f>
        <v/>
      </c>
      <c r="I93" s="83" t="str">
        <f>IF('Time Entry'!$M$23="","",'Time Entry'!$M$23)</f>
        <v/>
      </c>
      <c r="J93" s="83" t="str">
        <f>IF('Time Entry'!$F$23="","",'Time Entry'!$F$23)</f>
        <v/>
      </c>
      <c r="K93" s="77" t="str">
        <f>IF(I93="","",(IF(AND(WEEKDAY(D93)&gt;1,WEEKDAY(D93)&lt;7),(IF(I93="","",(IF(I93&gt;8,8,I93)))),0)))</f>
        <v/>
      </c>
      <c r="L93" s="88" t="str">
        <f t="shared" si="5"/>
        <v/>
      </c>
      <c r="M93" s="91" t="str">
        <f t="shared" si="6"/>
        <v/>
      </c>
      <c r="N93" s="92" t="str">
        <f t="shared" si="7"/>
        <v/>
      </c>
    </row>
    <row r="94" spans="1:14" ht="14.5">
      <c r="A94" s="76" t="str">
        <f>IF('Time Entry'!$D$7="","",'Time Entry'!$D$7)</f>
        <v>Steed Clark</v>
      </c>
      <c r="B94" s="77">
        <f>IF('Time Entry'!$F$7="","",'Time Entry'!$F$7)</f>
        <v>35</v>
      </c>
      <c r="C94" s="78">
        <f>IF('Time Entry'!$E$7="","",'Time Entry'!$E$7)</f>
        <v>44793</v>
      </c>
      <c r="D94" s="78">
        <f>IF('Time Entry'!$G$10="","",'Time Entry'!$G$10)</f>
        <v>44793</v>
      </c>
      <c r="E94" s="83">
        <f>IF('Time Entry'!$B$24="","",'Time Entry'!$B$24)</f>
        <v>9</v>
      </c>
      <c r="F94" s="83" t="str">
        <f>IF('Time Entry'!C$24="","",'Time Entry'!C$24)</f>
        <v/>
      </c>
      <c r="G94" s="83" t="str">
        <f>IF('Time Entry'!D$24="","",'Time Entry'!D$24)</f>
        <v/>
      </c>
      <c r="H94" s="83" t="str">
        <f>IF('Time Entry'!E$24="","",'Time Entry'!E$24)</f>
        <v/>
      </c>
      <c r="I94" s="83" t="str">
        <f>IF('Time Entry'!$G$24="","",'Time Entry'!$G$24)</f>
        <v/>
      </c>
      <c r="J94" s="83" t="str">
        <f>IF('Time Entry'!$F$24="","",'Time Entry'!$F$24)</f>
        <v/>
      </c>
      <c r="K94" s="77" t="str">
        <f>IF(I94="","",(IF(AND(WEEKDAY(D94)&gt;1,WEEKDAY(D94)&lt;7),(IF(I94="","",(IF(I94&gt;8,8,I94)))),0)))</f>
        <v/>
      </c>
      <c r="L94" s="88" t="str">
        <f t="shared" si="5"/>
        <v/>
      </c>
      <c r="M94" s="91" t="str">
        <f t="shared" si="6"/>
        <v/>
      </c>
      <c r="N94" s="92" t="str">
        <f t="shared" si="7"/>
        <v/>
      </c>
    </row>
    <row r="95" spans="1:14" ht="14.5">
      <c r="A95" s="76" t="str">
        <f>IF('Time Entry'!$D$7="","",'Time Entry'!$D$7)</f>
        <v>Steed Clark</v>
      </c>
      <c r="B95" s="77">
        <f>IF('Time Entry'!$F$7="","",'Time Entry'!$F$7)</f>
        <v>35</v>
      </c>
      <c r="C95" s="78">
        <f>IF('Time Entry'!$E$7="","",'Time Entry'!$E$7)</f>
        <v>44793</v>
      </c>
      <c r="D95" s="78">
        <f>IF('Time Entry'!$H$10="","",'Time Entry'!$H$10)</f>
        <v>44794</v>
      </c>
      <c r="E95" s="83">
        <f>IF('Time Entry'!$B$24="","",'Time Entry'!$B$24)</f>
        <v>9</v>
      </c>
      <c r="F95" s="83" t="str">
        <f>IF('Time Entry'!C$24="","",'Time Entry'!C$24)</f>
        <v/>
      </c>
      <c r="G95" s="83" t="str">
        <f>IF('Time Entry'!D$24="","",'Time Entry'!D$24)</f>
        <v/>
      </c>
      <c r="H95" s="83" t="str">
        <f>IF('Time Entry'!E$24="","",'Time Entry'!E$24)</f>
        <v/>
      </c>
      <c r="I95" s="83" t="str">
        <f>IF('Time Entry'!$H$24="","",'Time Entry'!$H$24)</f>
        <v/>
      </c>
      <c r="J95" s="83" t="str">
        <f>IF('Time Entry'!$F$24="","",'Time Entry'!$F$24)</f>
        <v/>
      </c>
      <c r="K95" s="77" t="str">
        <f>IF(I95="","",(IF(AND(WEEKDAY(D95)&gt;1,WEEKDAY(D95)&lt;7),(IF(I95="","",(IF(I95&gt;8,8,I95)))),0)))</f>
        <v/>
      </c>
      <c r="L95" s="88" t="str">
        <f t="shared" si="5"/>
        <v/>
      </c>
      <c r="M95" s="91" t="str">
        <f t="shared" si="6"/>
        <v/>
      </c>
      <c r="N95" s="92" t="str">
        <f t="shared" si="7"/>
        <v/>
      </c>
    </row>
    <row r="96" spans="1:14" ht="14.5">
      <c r="A96" s="76" t="str">
        <f>IF('Time Entry'!$D$7="","",'Time Entry'!$D$7)</f>
        <v>Steed Clark</v>
      </c>
      <c r="B96" s="77">
        <f>IF('Time Entry'!$F$7="","",'Time Entry'!$F$7)</f>
        <v>35</v>
      </c>
      <c r="C96" s="78">
        <f>IF('Time Entry'!$E$7="","",'Time Entry'!$E$7)</f>
        <v>44793</v>
      </c>
      <c r="D96" s="78">
        <f>IF('Time Entry'!$I$10="","",'Time Entry'!$I$10)</f>
        <v>44795</v>
      </c>
      <c r="E96" s="83">
        <f>IF('Time Entry'!$B$24="","",'Time Entry'!$B$24)</f>
        <v>9</v>
      </c>
      <c r="F96" s="83" t="str">
        <f>IF('Time Entry'!C$24="","",'Time Entry'!C$24)</f>
        <v/>
      </c>
      <c r="G96" s="83" t="str">
        <f>IF('Time Entry'!D$24="","",'Time Entry'!D$24)</f>
        <v/>
      </c>
      <c r="H96" s="83" t="str">
        <f>IF('Time Entry'!E$24="","",'Time Entry'!E$24)</f>
        <v/>
      </c>
      <c r="I96" s="83" t="str">
        <f>IF('Time Entry'!$I$24="","",'Time Entry'!$I$24)</f>
        <v/>
      </c>
      <c r="J96" s="83" t="str">
        <f>IF('Time Entry'!$F$24="","",'Time Entry'!$F$24)</f>
        <v/>
      </c>
      <c r="K96" s="77" t="str">
        <f>IF(I96="","",(IF(AND(WEEKDAY(D96)&gt;1,WEEKDAY(D96)&lt;7),(IF(I96="","",(IF(I96&gt;8,8,I96)))),0)))</f>
        <v/>
      </c>
      <c r="L96" s="88" t="str">
        <f t="shared" si="5"/>
        <v/>
      </c>
      <c r="M96" s="91" t="str">
        <f t="shared" si="6"/>
        <v/>
      </c>
      <c r="N96" s="92" t="str">
        <f t="shared" si="7"/>
        <v/>
      </c>
    </row>
    <row r="97" spans="1:14" ht="14.5">
      <c r="A97" s="76" t="str">
        <f>IF('Time Entry'!$D$7="","",'Time Entry'!$D$7)</f>
        <v>Steed Clark</v>
      </c>
      <c r="B97" s="77">
        <f>IF('Time Entry'!$F$7="","",'Time Entry'!$F$7)</f>
        <v>35</v>
      </c>
      <c r="C97" s="78">
        <f>IF('Time Entry'!$E$7="","",'Time Entry'!$E$7)</f>
        <v>44793</v>
      </c>
      <c r="D97" s="78">
        <f>IF('Time Entry'!$J$10="","",'Time Entry'!$J$10)</f>
        <v>44796</v>
      </c>
      <c r="E97" s="83">
        <f>IF('Time Entry'!$B$24="","",'Time Entry'!$B$24)</f>
        <v>9</v>
      </c>
      <c r="F97" s="83" t="str">
        <f>IF('Time Entry'!C$24="","",'Time Entry'!C$24)</f>
        <v/>
      </c>
      <c r="G97" s="83" t="str">
        <f>IF('Time Entry'!D$24="","",'Time Entry'!D$24)</f>
        <v/>
      </c>
      <c r="H97" s="83" t="str">
        <f>IF('Time Entry'!E$24="","",'Time Entry'!E$24)</f>
        <v/>
      </c>
      <c r="I97" s="83" t="str">
        <f>IF('Time Entry'!$J$24="","",'Time Entry'!$J$24)</f>
        <v/>
      </c>
      <c r="J97" s="83" t="str">
        <f>IF('Time Entry'!$F$24="","",'Time Entry'!$F$24)</f>
        <v/>
      </c>
      <c r="K97" s="77" t="str">
        <f>IF(I97="","",(IF(AND(WEEKDAY(D97)&gt;1,WEEKDAY(D97)&lt;7),(IF(I97="","",(IF(I97&gt;8,8,I97)))),0)))</f>
        <v/>
      </c>
      <c r="L97" s="88" t="str">
        <f t="shared" si="5"/>
        <v/>
      </c>
      <c r="M97" s="91" t="str">
        <f t="shared" si="6"/>
        <v/>
      </c>
      <c r="N97" s="92" t="str">
        <f t="shared" si="7"/>
        <v/>
      </c>
    </row>
    <row r="98" spans="1:14" ht="14.5">
      <c r="A98" s="76" t="str">
        <f>IF('Time Entry'!$D$7="","",'Time Entry'!$D$7)</f>
        <v>Steed Clark</v>
      </c>
      <c r="B98" s="77">
        <f>IF('Time Entry'!$F$7="","",'Time Entry'!$F$7)</f>
        <v>35</v>
      </c>
      <c r="C98" s="78">
        <f>IF('Time Entry'!$E$7="","",'Time Entry'!$E$7)</f>
        <v>44793</v>
      </c>
      <c r="D98" s="78">
        <f>IF('Time Entry'!$K$10="","",'Time Entry'!$K$10)</f>
        <v>44797</v>
      </c>
      <c r="E98" s="83">
        <f>IF('Time Entry'!$B$24="","",'Time Entry'!$B$24)</f>
        <v>9</v>
      </c>
      <c r="F98" s="83" t="str">
        <f>IF('Time Entry'!C$24="","",'Time Entry'!C$24)</f>
        <v/>
      </c>
      <c r="G98" s="83" t="str">
        <f>IF('Time Entry'!D$24="","",'Time Entry'!D$24)</f>
        <v/>
      </c>
      <c r="H98" s="83" t="str">
        <f>IF('Time Entry'!E$24="","",'Time Entry'!E$24)</f>
        <v/>
      </c>
      <c r="I98" s="83" t="str">
        <f>IF('Time Entry'!$K$24="","",'Time Entry'!$K$24)</f>
        <v/>
      </c>
      <c r="J98" s="83" t="str">
        <f>IF('Time Entry'!$F$24="","",'Time Entry'!$F$24)</f>
        <v/>
      </c>
      <c r="K98" s="77" t="str">
        <f>IF(I98="","",(IF(AND(WEEKDAY(D98)&gt;1,WEEKDAY(D98)&lt;7),(IF(I98="","",(IF(I98&gt;8,8,I98)))),0)))</f>
        <v/>
      </c>
      <c r="L98" s="88" t="str">
        <f t="shared" ref="L98:L129" si="8">IF(K98="","",(IF(AND(WEEKDAY(D98)&gt;1,WEEKDAY(D98)&lt;7),K98/8,0)))</f>
        <v/>
      </c>
      <c r="M98" s="91" t="str">
        <f t="shared" ref="M98:M129" si="9">IF(I98="","",(IF(K98=0,0,(K98/SUMIF($D$2:$D$155,D98,$K$2:$K$155)))*8))</f>
        <v/>
      </c>
      <c r="N98" s="92" t="str">
        <f t="shared" si="7"/>
        <v/>
      </c>
    </row>
    <row r="99" spans="1:14" ht="14.5">
      <c r="A99" s="76" t="str">
        <f>IF('Time Entry'!$D$7="","",'Time Entry'!$D$7)</f>
        <v>Steed Clark</v>
      </c>
      <c r="B99" s="77">
        <f>IF('Time Entry'!$F$7="","",'Time Entry'!$F$7)</f>
        <v>35</v>
      </c>
      <c r="C99" s="78">
        <f>IF('Time Entry'!$E$7="","",'Time Entry'!$E$7)</f>
        <v>44793</v>
      </c>
      <c r="D99" s="78">
        <f>IF('Time Entry'!$L$10="","",'Time Entry'!$L$10)</f>
        <v>44798</v>
      </c>
      <c r="E99" s="83">
        <f>IF('Time Entry'!$B$24="","",'Time Entry'!$B$24)</f>
        <v>9</v>
      </c>
      <c r="F99" s="83" t="str">
        <f>IF('Time Entry'!C$24="","",'Time Entry'!C$24)</f>
        <v/>
      </c>
      <c r="G99" s="83" t="str">
        <f>IF('Time Entry'!D$24="","",'Time Entry'!D$24)</f>
        <v/>
      </c>
      <c r="H99" s="83" t="str">
        <f>IF('Time Entry'!E$24="","",'Time Entry'!E$24)</f>
        <v/>
      </c>
      <c r="I99" s="83" t="str">
        <f>IF('Time Entry'!$L$24="","",'Time Entry'!$L$24)</f>
        <v/>
      </c>
      <c r="J99" s="83" t="str">
        <f>IF('Time Entry'!$F$24="","",'Time Entry'!$F$24)</f>
        <v/>
      </c>
      <c r="K99" s="77" t="str">
        <f>IF(I99="","",(IF(AND(WEEKDAY(D99)&gt;1,WEEKDAY(D99)&lt;7),(IF(I99="","",(IF(I99&gt;8,8,I99)))),0)))</f>
        <v/>
      </c>
      <c r="L99" s="88" t="str">
        <f t="shared" si="8"/>
        <v/>
      </c>
      <c r="M99" s="91" t="str">
        <f t="shared" si="9"/>
        <v/>
      </c>
      <c r="N99" s="92" t="str">
        <f t="shared" si="7"/>
        <v/>
      </c>
    </row>
    <row r="100" spans="1:14" ht="14.5">
      <c r="A100" s="76" t="str">
        <f>IF('Time Entry'!$D$7="","",'Time Entry'!$D$7)</f>
        <v>Steed Clark</v>
      </c>
      <c r="B100" s="77">
        <f>IF('Time Entry'!$F$7="","",'Time Entry'!$F$7)</f>
        <v>35</v>
      </c>
      <c r="C100" s="78">
        <f>IF('Time Entry'!$E$7="","",'Time Entry'!$E$7)</f>
        <v>44793</v>
      </c>
      <c r="D100" s="78">
        <f>IF('Time Entry'!$M$10="","",'Time Entry'!$M$10)</f>
        <v>44799</v>
      </c>
      <c r="E100" s="83">
        <f>IF('Time Entry'!$B$24="","",'Time Entry'!$B$24)</f>
        <v>9</v>
      </c>
      <c r="F100" s="83" t="str">
        <f>IF('Time Entry'!C$24="","",'Time Entry'!C$24)</f>
        <v/>
      </c>
      <c r="G100" s="83" t="str">
        <f>IF('Time Entry'!D$24="","",'Time Entry'!D$24)</f>
        <v/>
      </c>
      <c r="H100" s="83" t="str">
        <f>IF('Time Entry'!E$24="","",'Time Entry'!E$24)</f>
        <v/>
      </c>
      <c r="I100" s="83" t="str">
        <f>IF('Time Entry'!$M$24="","",'Time Entry'!$M$24)</f>
        <v/>
      </c>
      <c r="J100" s="83" t="str">
        <f>IF('Time Entry'!$F$24="","",'Time Entry'!$F$24)</f>
        <v/>
      </c>
      <c r="K100" s="77" t="str">
        <f>IF(I100="","",(IF(AND(WEEKDAY(D100)&gt;1,WEEKDAY(D100)&lt;7),(IF(I100="","",(IF(I100&gt;8,8,I100)))),0)))</f>
        <v/>
      </c>
      <c r="L100" s="88" t="str">
        <f t="shared" si="8"/>
        <v/>
      </c>
      <c r="M100" s="91" t="str">
        <f t="shared" si="9"/>
        <v/>
      </c>
      <c r="N100" s="92" t="str">
        <f t="shared" si="7"/>
        <v/>
      </c>
    </row>
    <row r="101" spans="1:14" ht="14.5">
      <c r="A101" s="76" t="str">
        <f>IF('Time Entry'!$D$7="","",'Time Entry'!$D$7)</f>
        <v>Steed Clark</v>
      </c>
      <c r="B101" s="77">
        <f>IF('Time Entry'!$F$7="","",'Time Entry'!$F$7)</f>
        <v>35</v>
      </c>
      <c r="C101" s="78">
        <f>IF('Time Entry'!$E$7="","",'Time Entry'!$E$7)</f>
        <v>44793</v>
      </c>
      <c r="D101" s="78">
        <f>IF('Time Entry'!$G$10="","",'Time Entry'!$G$10)</f>
        <v>44793</v>
      </c>
      <c r="E101" s="83">
        <f>IF('Time Entry'!$B$25="","",'Time Entry'!$B$25)</f>
        <v>10</v>
      </c>
      <c r="F101" s="83" t="str">
        <f>IF('Time Entry'!C$25="","",'Time Entry'!C$25)</f>
        <v/>
      </c>
      <c r="G101" s="83" t="str">
        <f>IF('Time Entry'!D$25="","",'Time Entry'!D$25)</f>
        <v/>
      </c>
      <c r="H101" s="83" t="str">
        <f>IF('Time Entry'!E$25="","",'Time Entry'!E$25)</f>
        <v/>
      </c>
      <c r="I101" s="83" t="str">
        <f>IF('Time Entry'!$G$25="","",'Time Entry'!$G$25)</f>
        <v/>
      </c>
      <c r="J101" s="83" t="str">
        <f>IF('Time Entry'!$F$25="","",'Time Entry'!$F$25)</f>
        <v/>
      </c>
      <c r="K101" s="77" t="str">
        <f>IF(I101="","",(IF(AND(WEEKDAY(D101)&gt;1,WEEKDAY(D101)&lt;7),(IF(I101="","",(IF(I101&gt;8,8,I101)))),0)))</f>
        <v/>
      </c>
      <c r="L101" s="88" t="str">
        <f t="shared" si="8"/>
        <v/>
      </c>
      <c r="M101" s="91" t="str">
        <f t="shared" si="9"/>
        <v/>
      </c>
      <c r="N101" s="92" t="str">
        <f t="shared" si="7"/>
        <v/>
      </c>
    </row>
    <row r="102" spans="1:14" ht="14.5">
      <c r="A102" s="76" t="str">
        <f>IF('Time Entry'!$D$7="","",'Time Entry'!$D$7)</f>
        <v>Steed Clark</v>
      </c>
      <c r="B102" s="77">
        <f>IF('Time Entry'!$F$7="","",'Time Entry'!$F$7)</f>
        <v>35</v>
      </c>
      <c r="C102" s="78">
        <f>IF('Time Entry'!$E$7="","",'Time Entry'!$E$7)</f>
        <v>44793</v>
      </c>
      <c r="D102" s="78">
        <f>IF('Time Entry'!$H$10="","",'Time Entry'!$H$10)</f>
        <v>44794</v>
      </c>
      <c r="E102" s="83">
        <f>IF('Time Entry'!$B$25="","",'Time Entry'!$B$25)</f>
        <v>10</v>
      </c>
      <c r="F102" s="83" t="str">
        <f>IF('Time Entry'!C$25="","",'Time Entry'!C$25)</f>
        <v/>
      </c>
      <c r="G102" s="83" t="str">
        <f>IF('Time Entry'!D$25="","",'Time Entry'!D$25)</f>
        <v/>
      </c>
      <c r="H102" s="83" t="str">
        <f>IF('Time Entry'!E$25="","",'Time Entry'!E$25)</f>
        <v/>
      </c>
      <c r="I102" s="83" t="str">
        <f>IF('Time Entry'!$H$25="","",'Time Entry'!$H$25)</f>
        <v/>
      </c>
      <c r="J102" s="83" t="str">
        <f>IF('Time Entry'!$F$25="","",'Time Entry'!$F$25)</f>
        <v/>
      </c>
      <c r="K102" s="77" t="str">
        <f>IF(I102="","",(IF(AND(WEEKDAY(D102)&gt;1,WEEKDAY(D102)&lt;7),(IF(I102="","",(IF(I102&gt;8,8,I102)))),0)))</f>
        <v/>
      </c>
      <c r="L102" s="88" t="str">
        <f t="shared" si="8"/>
        <v/>
      </c>
      <c r="M102" s="91" t="str">
        <f t="shared" si="9"/>
        <v/>
      </c>
      <c r="N102" s="92" t="str">
        <f t="shared" si="7"/>
        <v/>
      </c>
    </row>
    <row r="103" spans="1:14" ht="14.5">
      <c r="A103" s="76" t="str">
        <f>IF('Time Entry'!$D$7="","",'Time Entry'!$D$7)</f>
        <v>Steed Clark</v>
      </c>
      <c r="B103" s="77">
        <f>IF('Time Entry'!$F$7="","",'Time Entry'!$F$7)</f>
        <v>35</v>
      </c>
      <c r="C103" s="78">
        <f>IF('Time Entry'!$E$7="","",'Time Entry'!$E$7)</f>
        <v>44793</v>
      </c>
      <c r="D103" s="78">
        <f>IF('Time Entry'!$I$10="","",'Time Entry'!$I$10)</f>
        <v>44795</v>
      </c>
      <c r="E103" s="83">
        <f>IF('Time Entry'!$B$25="","",'Time Entry'!$B$25)</f>
        <v>10</v>
      </c>
      <c r="F103" s="83" t="str">
        <f>IF('Time Entry'!C$25="","",'Time Entry'!C$25)</f>
        <v/>
      </c>
      <c r="G103" s="83" t="str">
        <f>IF('Time Entry'!D$25="","",'Time Entry'!D$25)</f>
        <v/>
      </c>
      <c r="H103" s="83" t="str">
        <f>IF('Time Entry'!E$25="","",'Time Entry'!E$25)</f>
        <v/>
      </c>
      <c r="I103" s="83" t="str">
        <f>IF('Time Entry'!$I$25="","",'Time Entry'!$I$25)</f>
        <v/>
      </c>
      <c r="J103" s="83" t="str">
        <f>IF('Time Entry'!$F$25="","",'Time Entry'!$F$25)</f>
        <v/>
      </c>
      <c r="K103" s="77" t="str">
        <f>IF(I103="","",(IF(AND(WEEKDAY(D103)&gt;1,WEEKDAY(D103)&lt;7),(IF(I103="","",(IF(I103&gt;8,8,I103)))),0)))</f>
        <v/>
      </c>
      <c r="L103" s="88" t="str">
        <f t="shared" si="8"/>
        <v/>
      </c>
      <c r="M103" s="91" t="str">
        <f t="shared" si="9"/>
        <v/>
      </c>
      <c r="N103" s="92" t="str">
        <f t="shared" si="7"/>
        <v/>
      </c>
    </row>
    <row r="104" spans="1:14" ht="14.5">
      <c r="A104" s="76" t="str">
        <f>IF('Time Entry'!$D$7="","",'Time Entry'!$D$7)</f>
        <v>Steed Clark</v>
      </c>
      <c r="B104" s="77">
        <f>IF('Time Entry'!$F$7="","",'Time Entry'!$F$7)</f>
        <v>35</v>
      </c>
      <c r="C104" s="78">
        <f>IF('Time Entry'!$E$7="","",'Time Entry'!$E$7)</f>
        <v>44793</v>
      </c>
      <c r="D104" s="78">
        <f>IF('Time Entry'!$J$10="","",'Time Entry'!$J$10)</f>
        <v>44796</v>
      </c>
      <c r="E104" s="83">
        <f>IF('Time Entry'!$B$25="","",'Time Entry'!$B$25)</f>
        <v>10</v>
      </c>
      <c r="F104" s="83" t="str">
        <f>IF('Time Entry'!C$25="","",'Time Entry'!C$25)</f>
        <v/>
      </c>
      <c r="G104" s="83" t="str">
        <f>IF('Time Entry'!D$25="","",'Time Entry'!D$25)</f>
        <v/>
      </c>
      <c r="H104" s="83" t="str">
        <f>IF('Time Entry'!E$25="","",'Time Entry'!E$25)</f>
        <v/>
      </c>
      <c r="I104" s="83" t="str">
        <f>IF('Time Entry'!$J$25="","",'Time Entry'!$J$25)</f>
        <v/>
      </c>
      <c r="J104" s="83" t="str">
        <f>IF('Time Entry'!$F$25="","",'Time Entry'!$F$25)</f>
        <v/>
      </c>
      <c r="K104" s="77" t="str">
        <f>IF(I104="","",(IF(AND(WEEKDAY(D104)&gt;1,WEEKDAY(D104)&lt;7),(IF(I104="","",(IF(I104&gt;8,8,I104)))),0)))</f>
        <v/>
      </c>
      <c r="L104" s="88" t="str">
        <f t="shared" si="8"/>
        <v/>
      </c>
      <c r="M104" s="91" t="str">
        <f t="shared" si="9"/>
        <v/>
      </c>
      <c r="N104" s="92" t="str">
        <f t="shared" si="7"/>
        <v/>
      </c>
    </row>
    <row r="105" spans="1:14" ht="14.5">
      <c r="A105" s="76" t="str">
        <f>IF('Time Entry'!$D$7="","",'Time Entry'!$D$7)</f>
        <v>Steed Clark</v>
      </c>
      <c r="B105" s="77">
        <f>IF('Time Entry'!$F$7="","",'Time Entry'!$F$7)</f>
        <v>35</v>
      </c>
      <c r="C105" s="78">
        <f>IF('Time Entry'!$E$7="","",'Time Entry'!$E$7)</f>
        <v>44793</v>
      </c>
      <c r="D105" s="78">
        <f>IF('Time Entry'!$K$10="","",'Time Entry'!$K$10)</f>
        <v>44797</v>
      </c>
      <c r="E105" s="83">
        <f>IF('Time Entry'!$B$25="","",'Time Entry'!$B$25)</f>
        <v>10</v>
      </c>
      <c r="F105" s="83" t="str">
        <f>IF('Time Entry'!C$25="","",'Time Entry'!C$25)</f>
        <v/>
      </c>
      <c r="G105" s="83" t="str">
        <f>IF('Time Entry'!D$25="","",'Time Entry'!D$25)</f>
        <v/>
      </c>
      <c r="H105" s="83" t="str">
        <f>IF('Time Entry'!E$25="","",'Time Entry'!E$25)</f>
        <v/>
      </c>
      <c r="I105" s="83" t="str">
        <f>IF('Time Entry'!$K$25="","",'Time Entry'!$K$25)</f>
        <v/>
      </c>
      <c r="J105" s="83" t="str">
        <f>IF('Time Entry'!$F$25="","",'Time Entry'!$F$25)</f>
        <v/>
      </c>
      <c r="K105" s="77" t="str">
        <f>IF(I105="","",(IF(AND(WEEKDAY(D105)&gt;1,WEEKDAY(D105)&lt;7),(IF(I105="","",(IF(I105&gt;8,8,I105)))),0)))</f>
        <v/>
      </c>
      <c r="L105" s="88" t="str">
        <f t="shared" si="8"/>
        <v/>
      </c>
      <c r="M105" s="91" t="str">
        <f t="shared" si="9"/>
        <v/>
      </c>
      <c r="N105" s="92" t="str">
        <f t="shared" si="7"/>
        <v/>
      </c>
    </row>
    <row r="106" spans="1:14" ht="14.5">
      <c r="A106" s="76" t="str">
        <f>IF('Time Entry'!$D$7="","",'Time Entry'!$D$7)</f>
        <v>Steed Clark</v>
      </c>
      <c r="B106" s="77">
        <f>IF('Time Entry'!$F$7="","",'Time Entry'!$F$7)</f>
        <v>35</v>
      </c>
      <c r="C106" s="78">
        <f>IF('Time Entry'!$E$7="","",'Time Entry'!$E$7)</f>
        <v>44793</v>
      </c>
      <c r="D106" s="78">
        <f>IF('Time Entry'!$L$10="","",'Time Entry'!$L$10)</f>
        <v>44798</v>
      </c>
      <c r="E106" s="83">
        <f>IF('Time Entry'!$B$25="","",'Time Entry'!$B$25)</f>
        <v>10</v>
      </c>
      <c r="F106" s="83" t="str">
        <f>IF('Time Entry'!C$25="","",'Time Entry'!C$25)</f>
        <v/>
      </c>
      <c r="G106" s="83" t="str">
        <f>IF('Time Entry'!D$25="","",'Time Entry'!D$25)</f>
        <v/>
      </c>
      <c r="H106" s="83" t="str">
        <f>IF('Time Entry'!E$25="","",'Time Entry'!E$25)</f>
        <v/>
      </c>
      <c r="I106" s="83" t="str">
        <f>IF('Time Entry'!$L$25="","",'Time Entry'!$L$25)</f>
        <v/>
      </c>
      <c r="J106" s="83" t="str">
        <f>IF('Time Entry'!$F$25="","",'Time Entry'!$F$25)</f>
        <v/>
      </c>
      <c r="K106" s="77" t="str">
        <f>IF(I106="","",(IF(AND(WEEKDAY(D106)&gt;1,WEEKDAY(D106)&lt;7),(IF(I106="","",(IF(I106&gt;8,8,I106)))),0)))</f>
        <v/>
      </c>
      <c r="L106" s="88" t="str">
        <f t="shared" si="8"/>
        <v/>
      </c>
      <c r="M106" s="91" t="str">
        <f t="shared" si="9"/>
        <v/>
      </c>
      <c r="N106" s="92" t="str">
        <f t="shared" si="7"/>
        <v/>
      </c>
    </row>
    <row r="107" spans="1:14" ht="14.5">
      <c r="A107" s="76" t="str">
        <f>IF('Time Entry'!$D$7="","",'Time Entry'!$D$7)</f>
        <v>Steed Clark</v>
      </c>
      <c r="B107" s="77">
        <f>IF('Time Entry'!$F$7="","",'Time Entry'!$F$7)</f>
        <v>35</v>
      </c>
      <c r="C107" s="78">
        <f>IF('Time Entry'!$E$7="","",'Time Entry'!$E$7)</f>
        <v>44793</v>
      </c>
      <c r="D107" s="78">
        <f>IF('Time Entry'!$M$10="","",'Time Entry'!$M$10)</f>
        <v>44799</v>
      </c>
      <c r="E107" s="83">
        <f>IF('Time Entry'!$B$25="","",'Time Entry'!$B$25)</f>
        <v>10</v>
      </c>
      <c r="F107" s="83" t="str">
        <f>IF('Time Entry'!C$25="","",'Time Entry'!C$25)</f>
        <v/>
      </c>
      <c r="G107" s="83" t="str">
        <f>IF('Time Entry'!D$25="","",'Time Entry'!D$25)</f>
        <v/>
      </c>
      <c r="H107" s="83" t="str">
        <f>IF('Time Entry'!E$25="","",'Time Entry'!E$25)</f>
        <v/>
      </c>
      <c r="I107" s="83" t="str">
        <f>IF('Time Entry'!$M$25="","",'Time Entry'!$M$25)</f>
        <v/>
      </c>
      <c r="J107" s="83" t="str">
        <f>IF('Time Entry'!$F$25="","",'Time Entry'!$F$25)</f>
        <v/>
      </c>
      <c r="K107" s="77" t="str">
        <f>IF(I107="","",(IF(AND(WEEKDAY(D107)&gt;1,WEEKDAY(D107)&lt;7),(IF(I107="","",(IF(I107&gt;8,8,I107)))),0)))</f>
        <v/>
      </c>
      <c r="L107" s="88" t="str">
        <f t="shared" si="8"/>
        <v/>
      </c>
      <c r="M107" s="91" t="str">
        <f t="shared" si="9"/>
        <v/>
      </c>
      <c r="N107" s="92" t="str">
        <f t="shared" si="7"/>
        <v/>
      </c>
    </row>
    <row r="108" spans="1:14" ht="14.5">
      <c r="A108" s="76" t="str">
        <f>IF('Time Entry'!$D$7="","",'Time Entry'!$D$7)</f>
        <v>Steed Clark</v>
      </c>
      <c r="B108" s="77">
        <f>IF('Time Entry'!$F$7="","",'Time Entry'!$F$7)</f>
        <v>35</v>
      </c>
      <c r="C108" s="78">
        <f>IF('Time Entry'!$E$7="","",'Time Entry'!$E$7)</f>
        <v>44793</v>
      </c>
      <c r="D108" s="78">
        <f>IF('Time Entry'!$G$10="","",'Time Entry'!$G$10)</f>
        <v>44793</v>
      </c>
      <c r="E108" s="83">
        <f>IF('Time Entry'!$B$26="","",'Time Entry'!$B$26)</f>
        <v>11</v>
      </c>
      <c r="F108" s="83" t="str">
        <f>IF('Time Entry'!C$26="","",'Time Entry'!C$26)</f>
        <v/>
      </c>
      <c r="G108" s="83" t="str">
        <f>IF('Time Entry'!D$26="","",'Time Entry'!D$26)</f>
        <v/>
      </c>
      <c r="H108" s="83" t="str">
        <f>IF('Time Entry'!E$26="","",'Time Entry'!E$26)</f>
        <v/>
      </c>
      <c r="I108" s="83" t="str">
        <f>IF('Time Entry'!$G$26="","",'Time Entry'!$G$26)</f>
        <v/>
      </c>
      <c r="J108" s="83" t="str">
        <f>IF('Time Entry'!$F$26="","",'Time Entry'!$F$26)</f>
        <v/>
      </c>
      <c r="K108" s="77" t="str">
        <f>IF(I108="","",(IF(AND(WEEKDAY(D108)&gt;1,WEEKDAY(D108)&lt;7),(IF(I108="","",(IF(I108&gt;8,8,I108)))),0)))</f>
        <v/>
      </c>
      <c r="L108" s="88" t="str">
        <f t="shared" si="8"/>
        <v/>
      </c>
      <c r="M108" s="91" t="str">
        <f t="shared" si="9"/>
        <v/>
      </c>
      <c r="N108" s="92" t="str">
        <f t="shared" si="7"/>
        <v/>
      </c>
    </row>
    <row r="109" spans="1:14" ht="14.5">
      <c r="A109" s="76" t="str">
        <f>IF('Time Entry'!$D$7="","",'Time Entry'!$D$7)</f>
        <v>Steed Clark</v>
      </c>
      <c r="B109" s="77">
        <f>IF('Time Entry'!$F$7="","",'Time Entry'!$F$7)</f>
        <v>35</v>
      </c>
      <c r="C109" s="78">
        <f>IF('Time Entry'!$E$7="","",'Time Entry'!$E$7)</f>
        <v>44793</v>
      </c>
      <c r="D109" s="78">
        <f>IF('Time Entry'!$H$10="","",'Time Entry'!$H$10)</f>
        <v>44794</v>
      </c>
      <c r="E109" s="83">
        <f>IF('Time Entry'!$B$26="","",'Time Entry'!$B$26)</f>
        <v>11</v>
      </c>
      <c r="F109" s="83" t="str">
        <f>IF('Time Entry'!C$26="","",'Time Entry'!C$26)</f>
        <v/>
      </c>
      <c r="G109" s="83" t="str">
        <f>IF('Time Entry'!D$26="","",'Time Entry'!D$26)</f>
        <v/>
      </c>
      <c r="H109" s="83" t="str">
        <f>IF('Time Entry'!E$26="","",'Time Entry'!E$26)</f>
        <v/>
      </c>
      <c r="I109" s="83" t="str">
        <f>IF('Time Entry'!$H$26="","",'Time Entry'!$H$26)</f>
        <v/>
      </c>
      <c r="J109" s="83" t="str">
        <f>IF('Time Entry'!$F$26="","",'Time Entry'!$F$26)</f>
        <v/>
      </c>
      <c r="K109" s="77" t="str">
        <f>IF(I109="","",(IF(AND(WEEKDAY(D109)&gt;1,WEEKDAY(D109)&lt;7),(IF(I109="","",(IF(I109&gt;8,8,I109)))),0)))</f>
        <v/>
      </c>
      <c r="L109" s="88" t="str">
        <f t="shared" si="8"/>
        <v/>
      </c>
      <c r="M109" s="91" t="str">
        <f t="shared" si="9"/>
        <v/>
      </c>
      <c r="N109" s="92" t="str">
        <f t="shared" si="7"/>
        <v/>
      </c>
    </row>
    <row r="110" spans="1:14" ht="14.5">
      <c r="A110" s="76" t="str">
        <f>IF('Time Entry'!$D$7="","",'Time Entry'!$D$7)</f>
        <v>Steed Clark</v>
      </c>
      <c r="B110" s="77">
        <f>IF('Time Entry'!$F$7="","",'Time Entry'!$F$7)</f>
        <v>35</v>
      </c>
      <c r="C110" s="78">
        <f>IF('Time Entry'!$E$7="","",'Time Entry'!$E$7)</f>
        <v>44793</v>
      </c>
      <c r="D110" s="78">
        <f>IF('Time Entry'!$I$10="","",'Time Entry'!$I$10)</f>
        <v>44795</v>
      </c>
      <c r="E110" s="83">
        <f>IF('Time Entry'!$B$26="","",'Time Entry'!$B$26)</f>
        <v>11</v>
      </c>
      <c r="F110" s="83" t="str">
        <f>IF('Time Entry'!C$26="","",'Time Entry'!C$26)</f>
        <v/>
      </c>
      <c r="G110" s="83" t="str">
        <f>IF('Time Entry'!D$26="","",'Time Entry'!D$26)</f>
        <v/>
      </c>
      <c r="H110" s="83" t="str">
        <f>IF('Time Entry'!E$26="","",'Time Entry'!E$26)</f>
        <v/>
      </c>
      <c r="I110" s="83" t="str">
        <f>IF('Time Entry'!$I$26="","",'Time Entry'!$I$26)</f>
        <v/>
      </c>
      <c r="J110" s="83" t="str">
        <f>IF('Time Entry'!$F$26="","",'Time Entry'!$F$26)</f>
        <v/>
      </c>
      <c r="K110" s="77" t="str">
        <f>IF(I110="","",(IF(AND(WEEKDAY(D110)&gt;1,WEEKDAY(D110)&lt;7),(IF(I110="","",(IF(I110&gt;8,8,I110)))),0)))</f>
        <v/>
      </c>
      <c r="L110" s="88" t="str">
        <f t="shared" si="8"/>
        <v/>
      </c>
      <c r="M110" s="91" t="str">
        <f t="shared" si="9"/>
        <v/>
      </c>
      <c r="N110" s="92" t="str">
        <f t="shared" si="7"/>
        <v/>
      </c>
    </row>
    <row r="111" spans="1:14" ht="14.5">
      <c r="A111" s="76" t="str">
        <f>IF('Time Entry'!$D$7="","",'Time Entry'!$D$7)</f>
        <v>Steed Clark</v>
      </c>
      <c r="B111" s="77">
        <f>IF('Time Entry'!$F$7="","",'Time Entry'!$F$7)</f>
        <v>35</v>
      </c>
      <c r="C111" s="78">
        <f>IF('Time Entry'!$E$7="","",'Time Entry'!$E$7)</f>
        <v>44793</v>
      </c>
      <c r="D111" s="78">
        <f>IF('Time Entry'!$J$10="","",'Time Entry'!$J$10)</f>
        <v>44796</v>
      </c>
      <c r="E111" s="83">
        <f>IF('Time Entry'!$B$26="","",'Time Entry'!$B$26)</f>
        <v>11</v>
      </c>
      <c r="F111" s="83" t="str">
        <f>IF('Time Entry'!C$26="","",'Time Entry'!C$26)</f>
        <v/>
      </c>
      <c r="G111" s="83" t="str">
        <f>IF('Time Entry'!D$26="","",'Time Entry'!D$26)</f>
        <v/>
      </c>
      <c r="H111" s="83" t="str">
        <f>IF('Time Entry'!E$26="","",'Time Entry'!E$26)</f>
        <v/>
      </c>
      <c r="I111" s="83" t="str">
        <f>IF('Time Entry'!$J$26="","",'Time Entry'!$J$26)</f>
        <v/>
      </c>
      <c r="J111" s="83" t="str">
        <f>IF('Time Entry'!$F$26="","",'Time Entry'!$F$26)</f>
        <v/>
      </c>
      <c r="K111" s="77" t="str">
        <f>IF(I111="","",(IF(AND(WEEKDAY(D111)&gt;1,WEEKDAY(D111)&lt;7),(IF(I111="","",(IF(I111&gt;8,8,I111)))),0)))</f>
        <v/>
      </c>
      <c r="L111" s="88" t="str">
        <f t="shared" si="8"/>
        <v/>
      </c>
      <c r="M111" s="91" t="str">
        <f t="shared" si="9"/>
        <v/>
      </c>
      <c r="N111" s="92" t="str">
        <f t="shared" si="7"/>
        <v/>
      </c>
    </row>
    <row r="112" spans="1:14" ht="14.5">
      <c r="A112" s="76" t="str">
        <f>IF('Time Entry'!$D$7="","",'Time Entry'!$D$7)</f>
        <v>Steed Clark</v>
      </c>
      <c r="B112" s="77">
        <f>IF('Time Entry'!$F$7="","",'Time Entry'!$F$7)</f>
        <v>35</v>
      </c>
      <c r="C112" s="78">
        <f>IF('Time Entry'!$E$7="","",'Time Entry'!$E$7)</f>
        <v>44793</v>
      </c>
      <c r="D112" s="78">
        <f>IF('Time Entry'!$K$10="","",'Time Entry'!$K$10)</f>
        <v>44797</v>
      </c>
      <c r="E112" s="83">
        <f>IF('Time Entry'!$B$26="","",'Time Entry'!$B$26)</f>
        <v>11</v>
      </c>
      <c r="F112" s="83" t="str">
        <f>IF('Time Entry'!C$26="","",'Time Entry'!C$26)</f>
        <v/>
      </c>
      <c r="G112" s="83" t="str">
        <f>IF('Time Entry'!D$26="","",'Time Entry'!D$26)</f>
        <v/>
      </c>
      <c r="H112" s="83" t="str">
        <f>IF('Time Entry'!E$26="","",'Time Entry'!E$26)</f>
        <v/>
      </c>
      <c r="I112" s="83" t="str">
        <f>IF('Time Entry'!$K$26="","",'Time Entry'!$K$26)</f>
        <v/>
      </c>
      <c r="J112" s="83" t="str">
        <f>IF('Time Entry'!$F$26="","",'Time Entry'!$F$26)</f>
        <v/>
      </c>
      <c r="K112" s="77" t="str">
        <f>IF(I112="","",(IF(AND(WEEKDAY(D112)&gt;1,WEEKDAY(D112)&lt;7),(IF(I112="","",(IF(I112&gt;8,8,I112)))),0)))</f>
        <v/>
      </c>
      <c r="L112" s="88" t="str">
        <f t="shared" si="8"/>
        <v/>
      </c>
      <c r="M112" s="91" t="str">
        <f t="shared" si="9"/>
        <v/>
      </c>
      <c r="N112" s="92" t="str">
        <f t="shared" si="7"/>
        <v/>
      </c>
    </row>
    <row r="113" spans="1:14" ht="14.5">
      <c r="A113" s="76" t="str">
        <f>IF('Time Entry'!$D$7="","",'Time Entry'!$D$7)</f>
        <v>Steed Clark</v>
      </c>
      <c r="B113" s="77">
        <f>IF('Time Entry'!$F$7="","",'Time Entry'!$F$7)</f>
        <v>35</v>
      </c>
      <c r="C113" s="78">
        <f>IF('Time Entry'!$E$7="","",'Time Entry'!$E$7)</f>
        <v>44793</v>
      </c>
      <c r="D113" s="78">
        <f>IF('Time Entry'!$L$10="","",'Time Entry'!$L$10)</f>
        <v>44798</v>
      </c>
      <c r="E113" s="83">
        <f>IF('Time Entry'!$B$26="","",'Time Entry'!$B$26)</f>
        <v>11</v>
      </c>
      <c r="F113" s="83" t="str">
        <f>IF('Time Entry'!C$26="","",'Time Entry'!C$26)</f>
        <v/>
      </c>
      <c r="G113" s="83" t="str">
        <f>IF('Time Entry'!D$26="","",'Time Entry'!D$26)</f>
        <v/>
      </c>
      <c r="H113" s="83" t="str">
        <f>IF('Time Entry'!E$26="","",'Time Entry'!E$26)</f>
        <v/>
      </c>
      <c r="I113" s="83" t="str">
        <f>IF('Time Entry'!$L$26="","",'Time Entry'!$L$26)</f>
        <v/>
      </c>
      <c r="J113" s="83" t="str">
        <f>IF('Time Entry'!$F$26="","",'Time Entry'!$F$26)</f>
        <v/>
      </c>
      <c r="K113" s="77" t="str">
        <f>IF(I113="","",(IF(AND(WEEKDAY(D113)&gt;1,WEEKDAY(D113)&lt;7),(IF(I113="","",(IF(I113&gt;8,8,I113)))),0)))</f>
        <v/>
      </c>
      <c r="L113" s="88" t="str">
        <f t="shared" si="8"/>
        <v/>
      </c>
      <c r="M113" s="91" t="str">
        <f t="shared" si="9"/>
        <v/>
      </c>
      <c r="N113" s="92" t="str">
        <f t="shared" si="7"/>
        <v/>
      </c>
    </row>
    <row r="114" spans="1:14" ht="14.5">
      <c r="A114" s="76" t="str">
        <f>IF('Time Entry'!$D$7="","",'Time Entry'!$D$7)</f>
        <v>Steed Clark</v>
      </c>
      <c r="B114" s="77">
        <f>IF('Time Entry'!$F$7="","",'Time Entry'!$F$7)</f>
        <v>35</v>
      </c>
      <c r="C114" s="78">
        <f>IF('Time Entry'!$E$7="","",'Time Entry'!$E$7)</f>
        <v>44793</v>
      </c>
      <c r="D114" s="78">
        <f>IF('Time Entry'!$M$10="","",'Time Entry'!$M$10)</f>
        <v>44799</v>
      </c>
      <c r="E114" s="83">
        <f>IF('Time Entry'!$B$26="","",'Time Entry'!$B$26)</f>
        <v>11</v>
      </c>
      <c r="F114" s="83" t="str">
        <f>IF('Time Entry'!C$26="","",'Time Entry'!C$26)</f>
        <v/>
      </c>
      <c r="G114" s="83" t="str">
        <f>IF('Time Entry'!D$26="","",'Time Entry'!D$26)</f>
        <v/>
      </c>
      <c r="H114" s="83" t="str">
        <f>IF('Time Entry'!E$26="","",'Time Entry'!E$26)</f>
        <v/>
      </c>
      <c r="I114" s="83" t="str">
        <f>IF('Time Entry'!$M$26="","",'Time Entry'!$M$26)</f>
        <v/>
      </c>
      <c r="J114" s="83" t="str">
        <f>IF('Time Entry'!$F$26="","",'Time Entry'!$F$26)</f>
        <v/>
      </c>
      <c r="K114" s="77" t="str">
        <f>IF(I114="","",(IF(AND(WEEKDAY(D114)&gt;1,WEEKDAY(D114)&lt;7),(IF(I114="","",(IF(I114&gt;8,8,I114)))),0)))</f>
        <v/>
      </c>
      <c r="L114" s="88" t="str">
        <f t="shared" si="8"/>
        <v/>
      </c>
      <c r="M114" s="91" t="str">
        <f t="shared" si="9"/>
        <v/>
      </c>
      <c r="N114" s="92" t="str">
        <f t="shared" si="7"/>
        <v/>
      </c>
    </row>
    <row r="115" spans="1:14" ht="14.5">
      <c r="A115" s="76" t="str">
        <f>IF('Time Entry'!$D$7="","",'Time Entry'!$D$7)</f>
        <v>Steed Clark</v>
      </c>
      <c r="B115" s="77">
        <f>IF('Time Entry'!$F$7="","",'Time Entry'!$F$7)</f>
        <v>35</v>
      </c>
      <c r="C115" s="78">
        <f>IF('Time Entry'!$E$7="","",'Time Entry'!$E$7)</f>
        <v>44793</v>
      </c>
      <c r="D115" s="78">
        <f>IF('Time Entry'!$G$10="","",'Time Entry'!$G$10)</f>
        <v>44793</v>
      </c>
      <c r="E115" s="83">
        <f>IF('Time Entry'!$B$27="","",'Time Entry'!$B$27)</f>
        <v>12</v>
      </c>
      <c r="F115" s="83" t="str">
        <f>IF('Time Entry'!C$27="","",'Time Entry'!C$27)</f>
        <v/>
      </c>
      <c r="G115" s="83" t="str">
        <f>IF('Time Entry'!D$27="","",'Time Entry'!D$27)</f>
        <v/>
      </c>
      <c r="H115" s="83" t="str">
        <f>IF('Time Entry'!E$27="","",'Time Entry'!E$27)</f>
        <v/>
      </c>
      <c r="I115" s="83" t="str">
        <f>IF('Time Entry'!$G$27="","",'Time Entry'!$G$27)</f>
        <v/>
      </c>
      <c r="J115" s="83" t="str">
        <f>IF('Time Entry'!$F$27="","",'Time Entry'!$F$27)</f>
        <v/>
      </c>
      <c r="K115" s="77" t="str">
        <f>IF(I115="","",(IF(AND(WEEKDAY(D115)&gt;1,WEEKDAY(D115)&lt;7),(IF(I115="","",(IF(I115&gt;8,8,I115)))),0)))</f>
        <v/>
      </c>
      <c r="L115" s="88" t="str">
        <f t="shared" si="8"/>
        <v/>
      </c>
      <c r="M115" s="91" t="str">
        <f t="shared" si="9"/>
        <v/>
      </c>
      <c r="N115" s="92" t="str">
        <f t="shared" si="7"/>
        <v/>
      </c>
    </row>
    <row r="116" spans="1:14" ht="14.5">
      <c r="A116" s="76" t="str">
        <f>IF('Time Entry'!$D$7="","",'Time Entry'!$D$7)</f>
        <v>Steed Clark</v>
      </c>
      <c r="B116" s="77">
        <f>IF('Time Entry'!$F$7="","",'Time Entry'!$F$7)</f>
        <v>35</v>
      </c>
      <c r="C116" s="78">
        <f>IF('Time Entry'!$E$7="","",'Time Entry'!$E$7)</f>
        <v>44793</v>
      </c>
      <c r="D116" s="78">
        <f>IF('Time Entry'!$H$10="","",'Time Entry'!$H$10)</f>
        <v>44794</v>
      </c>
      <c r="E116" s="83">
        <f>IF('Time Entry'!$B$27="","",'Time Entry'!$B$27)</f>
        <v>12</v>
      </c>
      <c r="F116" s="83" t="str">
        <f>IF('Time Entry'!C$27="","",'Time Entry'!C$27)</f>
        <v/>
      </c>
      <c r="G116" s="83" t="str">
        <f>IF('Time Entry'!D$27="","",'Time Entry'!D$27)</f>
        <v/>
      </c>
      <c r="H116" s="83" t="str">
        <f>IF('Time Entry'!E$27="","",'Time Entry'!E$27)</f>
        <v/>
      </c>
      <c r="I116" s="83" t="str">
        <f>IF('Time Entry'!$H$27="","",'Time Entry'!$H$27)</f>
        <v/>
      </c>
      <c r="J116" s="83" t="str">
        <f>IF('Time Entry'!$F$27="","",'Time Entry'!$F$27)</f>
        <v/>
      </c>
      <c r="K116" s="77" t="str">
        <f>IF(I116="","",(IF(AND(WEEKDAY(D116)&gt;1,WEEKDAY(D116)&lt;7),(IF(I116="","",(IF(I116&gt;8,8,I116)))),0)))</f>
        <v/>
      </c>
      <c r="L116" s="88" t="str">
        <f t="shared" si="8"/>
        <v/>
      </c>
      <c r="M116" s="91" t="str">
        <f t="shared" si="9"/>
        <v/>
      </c>
      <c r="N116" s="92" t="str">
        <f t="shared" si="7"/>
        <v/>
      </c>
    </row>
    <row r="117" spans="1:14" ht="14.5">
      <c r="A117" s="76" t="str">
        <f>IF('Time Entry'!$D$7="","",'Time Entry'!$D$7)</f>
        <v>Steed Clark</v>
      </c>
      <c r="B117" s="77">
        <f>IF('Time Entry'!$F$7="","",'Time Entry'!$F$7)</f>
        <v>35</v>
      </c>
      <c r="C117" s="78">
        <f>IF('Time Entry'!$E$7="","",'Time Entry'!$E$7)</f>
        <v>44793</v>
      </c>
      <c r="D117" s="78">
        <f>IF('Time Entry'!$I$10="","",'Time Entry'!$I$10)</f>
        <v>44795</v>
      </c>
      <c r="E117" s="83">
        <f>IF('Time Entry'!$B$27="","",'Time Entry'!$B$27)</f>
        <v>12</v>
      </c>
      <c r="F117" s="83" t="str">
        <f>IF('Time Entry'!C$27="","",'Time Entry'!C$27)</f>
        <v/>
      </c>
      <c r="G117" s="83" t="str">
        <f>IF('Time Entry'!D$27="","",'Time Entry'!D$27)</f>
        <v/>
      </c>
      <c r="H117" s="83" t="str">
        <f>IF('Time Entry'!E$27="","",'Time Entry'!E$27)</f>
        <v/>
      </c>
      <c r="I117" s="83" t="str">
        <f>IF('Time Entry'!$I$27="","",'Time Entry'!$I$27)</f>
        <v/>
      </c>
      <c r="J117" s="83" t="str">
        <f>IF('Time Entry'!$F$27="","",'Time Entry'!$F$27)</f>
        <v/>
      </c>
      <c r="K117" s="77" t="str">
        <f>IF(I117="","",(IF(AND(WEEKDAY(D117)&gt;1,WEEKDAY(D117)&lt;7),(IF(I117="","",(IF(I117&gt;8,8,I117)))),0)))</f>
        <v/>
      </c>
      <c r="L117" s="88" t="str">
        <f t="shared" si="8"/>
        <v/>
      </c>
      <c r="M117" s="91" t="str">
        <f t="shared" si="9"/>
        <v/>
      </c>
      <c r="N117" s="92" t="str">
        <f t="shared" si="7"/>
        <v/>
      </c>
    </row>
    <row r="118" spans="1:14" ht="14.5">
      <c r="A118" s="76" t="str">
        <f>IF('Time Entry'!$D$7="","",'Time Entry'!$D$7)</f>
        <v>Steed Clark</v>
      </c>
      <c r="B118" s="77">
        <f>IF('Time Entry'!$F$7="","",'Time Entry'!$F$7)</f>
        <v>35</v>
      </c>
      <c r="C118" s="78">
        <f>IF('Time Entry'!$E$7="","",'Time Entry'!$E$7)</f>
        <v>44793</v>
      </c>
      <c r="D118" s="78">
        <f>IF('Time Entry'!$J$10="","",'Time Entry'!$J$10)</f>
        <v>44796</v>
      </c>
      <c r="E118" s="83">
        <f>IF('Time Entry'!$B$27="","",'Time Entry'!$B$27)</f>
        <v>12</v>
      </c>
      <c r="F118" s="83" t="str">
        <f>IF('Time Entry'!C$27="","",'Time Entry'!C$27)</f>
        <v/>
      </c>
      <c r="G118" s="83" t="str">
        <f>IF('Time Entry'!D$27="","",'Time Entry'!D$27)</f>
        <v/>
      </c>
      <c r="H118" s="83" t="str">
        <f>IF('Time Entry'!E$27="","",'Time Entry'!E$27)</f>
        <v/>
      </c>
      <c r="I118" s="83" t="str">
        <f>IF('Time Entry'!$J$27="","",'Time Entry'!$J$27)</f>
        <v/>
      </c>
      <c r="J118" s="83" t="str">
        <f>IF('Time Entry'!$F$27="","",'Time Entry'!$F$27)</f>
        <v/>
      </c>
      <c r="K118" s="77" t="str">
        <f>IF(I118="","",(IF(AND(WEEKDAY(D118)&gt;1,WEEKDAY(D118)&lt;7),(IF(I118="","",(IF(I118&gt;8,8,I118)))),0)))</f>
        <v/>
      </c>
      <c r="L118" s="88" t="str">
        <f t="shared" si="8"/>
        <v/>
      </c>
      <c r="M118" s="91" t="str">
        <f t="shared" si="9"/>
        <v/>
      </c>
      <c r="N118" s="92" t="str">
        <f t="shared" si="7"/>
        <v/>
      </c>
    </row>
    <row r="119" spans="1:14" ht="14.5">
      <c r="A119" s="76" t="str">
        <f>IF('Time Entry'!$D$7="","",'Time Entry'!$D$7)</f>
        <v>Steed Clark</v>
      </c>
      <c r="B119" s="77">
        <f>IF('Time Entry'!$F$7="","",'Time Entry'!$F$7)</f>
        <v>35</v>
      </c>
      <c r="C119" s="78">
        <f>IF('Time Entry'!$E$7="","",'Time Entry'!$E$7)</f>
        <v>44793</v>
      </c>
      <c r="D119" s="78">
        <f>IF('Time Entry'!$K$10="","",'Time Entry'!$K$10)</f>
        <v>44797</v>
      </c>
      <c r="E119" s="83">
        <f>IF('Time Entry'!$B$27="","",'Time Entry'!$B$27)</f>
        <v>12</v>
      </c>
      <c r="F119" s="83" t="str">
        <f>IF('Time Entry'!C$27="","",'Time Entry'!C$27)</f>
        <v/>
      </c>
      <c r="G119" s="83" t="str">
        <f>IF('Time Entry'!D$27="","",'Time Entry'!D$27)</f>
        <v/>
      </c>
      <c r="H119" s="83" t="str">
        <f>IF('Time Entry'!E$27="","",'Time Entry'!E$27)</f>
        <v/>
      </c>
      <c r="I119" s="83" t="str">
        <f>IF('Time Entry'!$K$27="","",'Time Entry'!$K$27)</f>
        <v/>
      </c>
      <c r="J119" s="83" t="str">
        <f>IF('Time Entry'!$F$27="","",'Time Entry'!$F$27)</f>
        <v/>
      </c>
      <c r="K119" s="77" t="str">
        <f>IF(I119="","",(IF(AND(WEEKDAY(D119)&gt;1,WEEKDAY(D119)&lt;7),(IF(I119="","",(IF(I119&gt;8,8,I119)))),0)))</f>
        <v/>
      </c>
      <c r="L119" s="88" t="str">
        <f t="shared" si="8"/>
        <v/>
      </c>
      <c r="M119" s="91" t="str">
        <f t="shared" si="9"/>
        <v/>
      </c>
      <c r="N119" s="92" t="str">
        <f t="shared" si="7"/>
        <v/>
      </c>
    </row>
    <row r="120" spans="1:14" ht="14.5">
      <c r="A120" s="76" t="str">
        <f>IF('Time Entry'!$D$7="","",'Time Entry'!$D$7)</f>
        <v>Steed Clark</v>
      </c>
      <c r="B120" s="77">
        <f>IF('Time Entry'!$F$7="","",'Time Entry'!$F$7)</f>
        <v>35</v>
      </c>
      <c r="C120" s="78">
        <f>IF('Time Entry'!$E$7="","",'Time Entry'!$E$7)</f>
        <v>44793</v>
      </c>
      <c r="D120" s="78">
        <f>IF('Time Entry'!$L$10="","",'Time Entry'!$L$10)</f>
        <v>44798</v>
      </c>
      <c r="E120" s="83">
        <f>IF('Time Entry'!$B$27="","",'Time Entry'!$B$27)</f>
        <v>12</v>
      </c>
      <c r="F120" s="83" t="str">
        <f>IF('Time Entry'!C$27="","",'Time Entry'!C$27)</f>
        <v/>
      </c>
      <c r="G120" s="83" t="str">
        <f>IF('Time Entry'!D$27="","",'Time Entry'!D$27)</f>
        <v/>
      </c>
      <c r="H120" s="83" t="str">
        <f>IF('Time Entry'!E$27="","",'Time Entry'!E$27)</f>
        <v/>
      </c>
      <c r="I120" s="83" t="str">
        <f>IF('Time Entry'!$L$27="","",'Time Entry'!$L$27)</f>
        <v/>
      </c>
      <c r="J120" s="83" t="str">
        <f>IF('Time Entry'!$F$27="","",'Time Entry'!$F$27)</f>
        <v/>
      </c>
      <c r="K120" s="77" t="str">
        <f>IF(I120="","",(IF(AND(WEEKDAY(D120)&gt;1,WEEKDAY(D120)&lt;7),(IF(I120="","",(IF(I120&gt;8,8,I120)))),0)))</f>
        <v/>
      </c>
      <c r="L120" s="88" t="str">
        <f t="shared" si="8"/>
        <v/>
      </c>
      <c r="M120" s="91" t="str">
        <f t="shared" si="9"/>
        <v/>
      </c>
      <c r="N120" s="92" t="str">
        <f t="shared" si="7"/>
        <v/>
      </c>
    </row>
    <row r="121" spans="1:14" ht="14.5">
      <c r="A121" s="76" t="str">
        <f>IF('Time Entry'!$D$7="","",'Time Entry'!$D$7)</f>
        <v>Steed Clark</v>
      </c>
      <c r="B121" s="77">
        <f>IF('Time Entry'!$F$7="","",'Time Entry'!$F$7)</f>
        <v>35</v>
      </c>
      <c r="C121" s="78">
        <f>IF('Time Entry'!$E$7="","",'Time Entry'!$E$7)</f>
        <v>44793</v>
      </c>
      <c r="D121" s="78">
        <f>IF('Time Entry'!$M$10="","",'Time Entry'!$M$10)</f>
        <v>44799</v>
      </c>
      <c r="E121" s="83">
        <f>IF('Time Entry'!$B$27="","",'Time Entry'!$B$27)</f>
        <v>12</v>
      </c>
      <c r="F121" s="83" t="str">
        <f>IF('Time Entry'!C$27="","",'Time Entry'!C$27)</f>
        <v/>
      </c>
      <c r="G121" s="83" t="str">
        <f>IF('Time Entry'!D$27="","",'Time Entry'!D$27)</f>
        <v/>
      </c>
      <c r="H121" s="83" t="str">
        <f>IF('Time Entry'!E$27="","",'Time Entry'!E$27)</f>
        <v/>
      </c>
      <c r="I121" s="83" t="str">
        <f>IF('Time Entry'!$M$27="","",'Time Entry'!$M$27)</f>
        <v/>
      </c>
      <c r="J121" s="83" t="str">
        <f>IF('Time Entry'!$F$27="","",'Time Entry'!$F$27)</f>
        <v/>
      </c>
      <c r="K121" s="77" t="str">
        <f>IF(I121="","",(IF(AND(WEEKDAY(D121)&gt;1,WEEKDAY(D121)&lt;7),(IF(I121="","",(IF(I121&gt;8,8,I121)))),0)))</f>
        <v/>
      </c>
      <c r="L121" s="88" t="str">
        <f t="shared" si="8"/>
        <v/>
      </c>
      <c r="M121" s="91" t="str">
        <f t="shared" si="9"/>
        <v/>
      </c>
      <c r="N121" s="92" t="str">
        <f t="shared" si="7"/>
        <v/>
      </c>
    </row>
    <row r="122" spans="1:14" ht="14.5">
      <c r="A122" s="76" t="str">
        <f>IF('Time Entry'!$D$7="","",'Time Entry'!$D$7)</f>
        <v>Steed Clark</v>
      </c>
      <c r="B122" s="77">
        <f>IF('Time Entry'!$F$7="","",'Time Entry'!$F$7)</f>
        <v>35</v>
      </c>
      <c r="C122" s="78">
        <f>IF('Time Entry'!$E$7="","",'Time Entry'!$E$7)</f>
        <v>44793</v>
      </c>
      <c r="D122" s="78">
        <f>IF('Time Entry'!$G$10="","",'Time Entry'!$G$10)</f>
        <v>44793</v>
      </c>
      <c r="E122" s="83">
        <f>IF('Time Entry'!$B$28="","",'Time Entry'!$B$28)</f>
        <v>13</v>
      </c>
      <c r="F122" s="83" t="str">
        <f>IF('Time Entry'!C$28="","",'Time Entry'!C$28)</f>
        <v/>
      </c>
      <c r="G122" s="83" t="str">
        <f>IF('Time Entry'!D$28="","",'Time Entry'!D$28)</f>
        <v/>
      </c>
      <c r="H122" s="83" t="str">
        <f>IF('Time Entry'!E$28="","",'Time Entry'!E$28)</f>
        <v/>
      </c>
      <c r="I122" s="83" t="str">
        <f>IF('Time Entry'!$G$28="","",'Time Entry'!$G$28)</f>
        <v/>
      </c>
      <c r="J122" s="83" t="str">
        <f>IF('Time Entry'!$F$28="","",'Time Entry'!$F$28)</f>
        <v/>
      </c>
      <c r="K122" s="77" t="str">
        <f>IF(I122="","",(IF(AND(WEEKDAY(D122)&gt;1,WEEKDAY(D122)&lt;7),(IF(I122="","",(IF(I122&gt;8,8,I122)))),0)))</f>
        <v/>
      </c>
      <c r="L122" s="88" t="str">
        <f t="shared" si="8"/>
        <v/>
      </c>
      <c r="M122" s="91" t="str">
        <f t="shared" si="9"/>
        <v/>
      </c>
      <c r="N122" s="92" t="str">
        <f t="shared" si="7"/>
        <v/>
      </c>
    </row>
    <row r="123" spans="1:14" ht="14.5">
      <c r="A123" s="76" t="str">
        <f>IF('Time Entry'!$D$7="","",'Time Entry'!$D$7)</f>
        <v>Steed Clark</v>
      </c>
      <c r="B123" s="77">
        <f>IF('Time Entry'!$F$7="","",'Time Entry'!$F$7)</f>
        <v>35</v>
      </c>
      <c r="C123" s="78">
        <f>IF('Time Entry'!$E$7="","",'Time Entry'!$E$7)</f>
        <v>44793</v>
      </c>
      <c r="D123" s="78">
        <f>IF('Time Entry'!$H$10="","",'Time Entry'!$H$10)</f>
        <v>44794</v>
      </c>
      <c r="E123" s="83">
        <f>IF('Time Entry'!$B$28="","",'Time Entry'!$B$28)</f>
        <v>13</v>
      </c>
      <c r="F123" s="83" t="str">
        <f>IF('Time Entry'!C$28="","",'Time Entry'!C$28)</f>
        <v/>
      </c>
      <c r="G123" s="83" t="str">
        <f>IF('Time Entry'!D$28="","",'Time Entry'!D$28)</f>
        <v/>
      </c>
      <c r="H123" s="83" t="str">
        <f>IF('Time Entry'!E$28="","",'Time Entry'!E$28)</f>
        <v/>
      </c>
      <c r="I123" s="83" t="str">
        <f>IF('Time Entry'!$H$28="","",'Time Entry'!$H$28)</f>
        <v/>
      </c>
      <c r="J123" s="83" t="str">
        <f>IF('Time Entry'!$F$28="","",'Time Entry'!$F$28)</f>
        <v/>
      </c>
      <c r="K123" s="77" t="str">
        <f>IF(I123="","",(IF(AND(WEEKDAY(D123)&gt;1,WEEKDAY(D123)&lt;7),(IF(I123="","",(IF(I123&gt;8,8,I123)))),0)))</f>
        <v/>
      </c>
      <c r="L123" s="88" t="str">
        <f t="shared" si="8"/>
        <v/>
      </c>
      <c r="M123" s="91" t="str">
        <f t="shared" si="9"/>
        <v/>
      </c>
      <c r="N123" s="92" t="str">
        <f t="shared" si="7"/>
        <v/>
      </c>
    </row>
    <row r="124" spans="1:14" ht="14.5">
      <c r="A124" s="76" t="str">
        <f>IF('Time Entry'!$D$7="","",'Time Entry'!$D$7)</f>
        <v>Steed Clark</v>
      </c>
      <c r="B124" s="77">
        <f>IF('Time Entry'!$F$7="","",'Time Entry'!$F$7)</f>
        <v>35</v>
      </c>
      <c r="C124" s="78">
        <f>IF('Time Entry'!$E$7="","",'Time Entry'!$E$7)</f>
        <v>44793</v>
      </c>
      <c r="D124" s="78">
        <f>IF('Time Entry'!$I$10="","",'Time Entry'!$I$10)</f>
        <v>44795</v>
      </c>
      <c r="E124" s="83">
        <f>IF('Time Entry'!$B$28="","",'Time Entry'!$B$28)</f>
        <v>13</v>
      </c>
      <c r="F124" s="83" t="str">
        <f>IF('Time Entry'!C$28="","",'Time Entry'!C$28)</f>
        <v/>
      </c>
      <c r="G124" s="83" t="str">
        <f>IF('Time Entry'!D$28="","",'Time Entry'!D$28)</f>
        <v/>
      </c>
      <c r="H124" s="83" t="str">
        <f>IF('Time Entry'!E$28="","",'Time Entry'!E$28)</f>
        <v/>
      </c>
      <c r="I124" s="83" t="str">
        <f>IF('Time Entry'!$I$28="","",'Time Entry'!$I$28)</f>
        <v/>
      </c>
      <c r="J124" s="83" t="str">
        <f>IF('Time Entry'!$F$28="","",'Time Entry'!$F$28)</f>
        <v/>
      </c>
      <c r="K124" s="77" t="str">
        <f>IF(I124="","",(IF(AND(WEEKDAY(D124)&gt;1,WEEKDAY(D124)&lt;7),(IF(I124="","",(IF(I124&gt;8,8,I124)))),0)))</f>
        <v/>
      </c>
      <c r="L124" s="88" t="str">
        <f t="shared" si="8"/>
        <v/>
      </c>
      <c r="M124" s="91" t="str">
        <f t="shared" si="9"/>
        <v/>
      </c>
      <c r="N124" s="92" t="str">
        <f t="shared" si="7"/>
        <v/>
      </c>
    </row>
    <row r="125" spans="1:14" ht="14.5">
      <c r="A125" s="76" t="str">
        <f>IF('Time Entry'!$D$7="","",'Time Entry'!$D$7)</f>
        <v>Steed Clark</v>
      </c>
      <c r="B125" s="77">
        <f>IF('Time Entry'!$F$7="","",'Time Entry'!$F$7)</f>
        <v>35</v>
      </c>
      <c r="C125" s="78">
        <f>IF('Time Entry'!$E$7="","",'Time Entry'!$E$7)</f>
        <v>44793</v>
      </c>
      <c r="D125" s="78">
        <f>IF('Time Entry'!$J$10="","",'Time Entry'!$J$10)</f>
        <v>44796</v>
      </c>
      <c r="E125" s="83">
        <f>IF('Time Entry'!$B$28="","",'Time Entry'!$B$28)</f>
        <v>13</v>
      </c>
      <c r="F125" s="83" t="str">
        <f>IF('Time Entry'!C$28="","",'Time Entry'!C$28)</f>
        <v/>
      </c>
      <c r="G125" s="83" t="str">
        <f>IF('Time Entry'!D$28="","",'Time Entry'!D$28)</f>
        <v/>
      </c>
      <c r="H125" s="83" t="str">
        <f>IF('Time Entry'!E$28="","",'Time Entry'!E$28)</f>
        <v/>
      </c>
      <c r="I125" s="83" t="str">
        <f>IF('Time Entry'!$J$28="","",'Time Entry'!$J$28)</f>
        <v/>
      </c>
      <c r="J125" s="83" t="str">
        <f>IF('Time Entry'!$F$28="","",'Time Entry'!$F$28)</f>
        <v/>
      </c>
      <c r="K125" s="77" t="str">
        <f>IF(I125="","",(IF(AND(WEEKDAY(D125)&gt;1,WEEKDAY(D125)&lt;7),(IF(I125="","",(IF(I125&gt;8,8,I125)))),0)))</f>
        <v/>
      </c>
      <c r="L125" s="88" t="str">
        <f t="shared" si="8"/>
        <v/>
      </c>
      <c r="M125" s="91" t="str">
        <f t="shared" si="9"/>
        <v/>
      </c>
      <c r="N125" s="92" t="str">
        <f t="shared" si="7"/>
        <v/>
      </c>
    </row>
    <row r="126" spans="1:14" ht="14.5">
      <c r="A126" s="76" t="str">
        <f>IF('Time Entry'!$D$7="","",'Time Entry'!$D$7)</f>
        <v>Steed Clark</v>
      </c>
      <c r="B126" s="77">
        <f>IF('Time Entry'!$F$7="","",'Time Entry'!$F$7)</f>
        <v>35</v>
      </c>
      <c r="C126" s="78">
        <f>IF('Time Entry'!$E$7="","",'Time Entry'!$E$7)</f>
        <v>44793</v>
      </c>
      <c r="D126" s="78">
        <f>IF('Time Entry'!$K$10="","",'Time Entry'!$K$10)</f>
        <v>44797</v>
      </c>
      <c r="E126" s="83">
        <f>IF('Time Entry'!$B$28="","",'Time Entry'!$B$28)</f>
        <v>13</v>
      </c>
      <c r="F126" s="83" t="str">
        <f>IF('Time Entry'!C$28="","",'Time Entry'!C$28)</f>
        <v/>
      </c>
      <c r="G126" s="83" t="str">
        <f>IF('Time Entry'!D$28="","",'Time Entry'!D$28)</f>
        <v/>
      </c>
      <c r="H126" s="83" t="str">
        <f>IF('Time Entry'!E$28="","",'Time Entry'!E$28)</f>
        <v/>
      </c>
      <c r="I126" s="83" t="str">
        <f>IF('Time Entry'!$K$28="","",'Time Entry'!$K$28)</f>
        <v/>
      </c>
      <c r="J126" s="83" t="str">
        <f>IF('Time Entry'!$F$28="","",'Time Entry'!$F$28)</f>
        <v/>
      </c>
      <c r="K126" s="77" t="str">
        <f>IF(I126="","",(IF(AND(WEEKDAY(D126)&gt;1,WEEKDAY(D126)&lt;7),(IF(I126="","",(IF(I126&gt;8,8,I126)))),0)))</f>
        <v/>
      </c>
      <c r="L126" s="88" t="str">
        <f t="shared" si="8"/>
        <v/>
      </c>
      <c r="M126" s="91" t="str">
        <f t="shared" si="9"/>
        <v/>
      </c>
      <c r="N126" s="92" t="str">
        <f t="shared" si="7"/>
        <v/>
      </c>
    </row>
    <row r="127" spans="1:14" ht="14.5">
      <c r="A127" s="76" t="str">
        <f>IF('Time Entry'!$D$7="","",'Time Entry'!$D$7)</f>
        <v>Steed Clark</v>
      </c>
      <c r="B127" s="77">
        <f>IF('Time Entry'!$F$7="","",'Time Entry'!$F$7)</f>
        <v>35</v>
      </c>
      <c r="C127" s="78">
        <f>IF('Time Entry'!$E$7="","",'Time Entry'!$E$7)</f>
        <v>44793</v>
      </c>
      <c r="D127" s="78">
        <f>IF('Time Entry'!$L$10="","",'Time Entry'!$L$10)</f>
        <v>44798</v>
      </c>
      <c r="E127" s="83">
        <f>IF('Time Entry'!$B$28="","",'Time Entry'!$B$28)</f>
        <v>13</v>
      </c>
      <c r="F127" s="83" t="str">
        <f>IF('Time Entry'!C$28="","",'Time Entry'!C$28)</f>
        <v/>
      </c>
      <c r="G127" s="83" t="str">
        <f>IF('Time Entry'!D$28="","",'Time Entry'!D$28)</f>
        <v/>
      </c>
      <c r="H127" s="83" t="str">
        <f>IF('Time Entry'!E$28="","",'Time Entry'!E$28)</f>
        <v/>
      </c>
      <c r="I127" s="83" t="str">
        <f>IF('Time Entry'!$L$28="","",'Time Entry'!$L$28)</f>
        <v/>
      </c>
      <c r="J127" s="83" t="str">
        <f>IF('Time Entry'!$F$28="","",'Time Entry'!$F$28)</f>
        <v/>
      </c>
      <c r="K127" s="77" t="str">
        <f>IF(I127="","",(IF(AND(WEEKDAY(D127)&gt;1,WEEKDAY(D127)&lt;7),(IF(I127="","",(IF(I127&gt;8,8,I127)))),0)))</f>
        <v/>
      </c>
      <c r="L127" s="88" t="str">
        <f t="shared" si="8"/>
        <v/>
      </c>
      <c r="M127" s="91" t="str">
        <f t="shared" si="9"/>
        <v/>
      </c>
      <c r="N127" s="92" t="str">
        <f t="shared" si="7"/>
        <v/>
      </c>
    </row>
    <row r="128" spans="1:14" ht="14.5">
      <c r="A128" s="76" t="str">
        <f>IF('Time Entry'!$D$7="","",'Time Entry'!$D$7)</f>
        <v>Steed Clark</v>
      </c>
      <c r="B128" s="77">
        <f>IF('Time Entry'!$F$7="","",'Time Entry'!$F$7)</f>
        <v>35</v>
      </c>
      <c r="C128" s="78">
        <f>IF('Time Entry'!$E$7="","",'Time Entry'!$E$7)</f>
        <v>44793</v>
      </c>
      <c r="D128" s="78">
        <f>IF('Time Entry'!$M$10="","",'Time Entry'!$M$10)</f>
        <v>44799</v>
      </c>
      <c r="E128" s="83">
        <f>IF('Time Entry'!$B$28="","",'Time Entry'!$B$28)</f>
        <v>13</v>
      </c>
      <c r="F128" s="83" t="str">
        <f>IF('Time Entry'!C$28="","",'Time Entry'!C$28)</f>
        <v/>
      </c>
      <c r="G128" s="83" t="str">
        <f>IF('Time Entry'!D$28="","",'Time Entry'!D$28)</f>
        <v/>
      </c>
      <c r="H128" s="83" t="str">
        <f>IF('Time Entry'!E$28="","",'Time Entry'!E$28)</f>
        <v/>
      </c>
      <c r="I128" s="83" t="str">
        <f>IF('Time Entry'!$M$28="","",'Time Entry'!$M$28)</f>
        <v/>
      </c>
      <c r="J128" s="83" t="str">
        <f>IF('Time Entry'!$F$28="","",'Time Entry'!$F$28)</f>
        <v/>
      </c>
      <c r="K128" s="77" t="str">
        <f>IF(I128="","",(IF(AND(WEEKDAY(D128)&gt;1,WEEKDAY(D128)&lt;7),(IF(I128="","",(IF(I128&gt;8,8,I128)))),0)))</f>
        <v/>
      </c>
      <c r="L128" s="88" t="str">
        <f t="shared" si="8"/>
        <v/>
      </c>
      <c r="M128" s="91" t="str">
        <f t="shared" si="9"/>
        <v/>
      </c>
      <c r="N128" s="92" t="str">
        <f t="shared" si="7"/>
        <v/>
      </c>
    </row>
    <row r="129" spans="1:14" ht="14.5">
      <c r="A129" s="76" t="str">
        <f>IF('Time Entry'!$D$7="","",'Time Entry'!$D$7)</f>
        <v>Steed Clark</v>
      </c>
      <c r="B129" s="77">
        <f>IF('Time Entry'!$F$7="","",'Time Entry'!$F$7)</f>
        <v>35</v>
      </c>
      <c r="C129" s="78">
        <f>IF('Time Entry'!$E$7="","",'Time Entry'!$E$7)</f>
        <v>44793</v>
      </c>
      <c r="D129" s="78">
        <f>IF('Time Entry'!$G$10="","",'Time Entry'!$G$10)</f>
        <v>44793</v>
      </c>
      <c r="E129" s="83">
        <f>IF('Time Entry'!$B$29="","",'Time Entry'!$B$29)</f>
        <v>14</v>
      </c>
      <c r="F129" s="83" t="str">
        <f>IF('Time Entry'!C$29="","",'Time Entry'!C$29)</f>
        <v/>
      </c>
      <c r="G129" s="83" t="str">
        <f>IF('Time Entry'!D$29="","",'Time Entry'!D$29)</f>
        <v/>
      </c>
      <c r="H129" s="83" t="str">
        <f>IF('Time Entry'!E$29="","",'Time Entry'!E$29)</f>
        <v/>
      </c>
      <c r="I129" s="83" t="str">
        <f>IF('Time Entry'!$G$29="","",'Time Entry'!$G$29)</f>
        <v/>
      </c>
      <c r="J129" s="83" t="str">
        <f>IF('Time Entry'!$F$29="","",'Time Entry'!$F$29)</f>
        <v/>
      </c>
      <c r="K129" s="77" t="str">
        <f>IF(I129="","",(IF(AND(WEEKDAY(D129)&gt;1,WEEKDAY(D129)&lt;7),(IF(I129="","",(IF(I129&gt;8,8,I129)))),0)))</f>
        <v/>
      </c>
      <c r="L129" s="88" t="str">
        <f t="shared" si="8"/>
        <v/>
      </c>
      <c r="M129" s="91" t="str">
        <f t="shared" si="9"/>
        <v/>
      </c>
      <c r="N129" s="92" t="str">
        <f t="shared" si="7"/>
        <v/>
      </c>
    </row>
    <row r="130" spans="1:14" ht="14.5">
      <c r="A130" s="76" t="str">
        <f>IF('Time Entry'!$D$7="","",'Time Entry'!$D$7)</f>
        <v>Steed Clark</v>
      </c>
      <c r="B130" s="77">
        <f>IF('Time Entry'!$F$7="","",'Time Entry'!$F$7)</f>
        <v>35</v>
      </c>
      <c r="C130" s="78">
        <f>IF('Time Entry'!$E$7="","",'Time Entry'!$E$7)</f>
        <v>44793</v>
      </c>
      <c r="D130" s="78">
        <f>IF('Time Entry'!$H$10="","",'Time Entry'!$H$10)</f>
        <v>44794</v>
      </c>
      <c r="E130" s="83">
        <f>IF('Time Entry'!$B$29="","",'Time Entry'!$B$29)</f>
        <v>14</v>
      </c>
      <c r="F130" s="83" t="str">
        <f>IF('Time Entry'!C$29="","",'Time Entry'!C$29)</f>
        <v/>
      </c>
      <c r="G130" s="83" t="str">
        <f>IF('Time Entry'!D$29="","",'Time Entry'!D$29)</f>
        <v/>
      </c>
      <c r="H130" s="83" t="str">
        <f>IF('Time Entry'!E$29="","",'Time Entry'!E$29)</f>
        <v/>
      </c>
      <c r="I130" s="83" t="str">
        <f>IF('Time Entry'!$H$29="","",'Time Entry'!$H$29)</f>
        <v/>
      </c>
      <c r="J130" s="83" t="str">
        <f>IF('Time Entry'!$F$29="","",'Time Entry'!$F$29)</f>
        <v/>
      </c>
      <c r="K130" s="77" t="str">
        <f>IF(I130="","",(IF(AND(WEEKDAY(D130)&gt;1,WEEKDAY(D130)&lt;7),(IF(I130="","",(IF(I130&gt;8,8,I130)))),0)))</f>
        <v/>
      </c>
      <c r="L130" s="88" t="str">
        <f t="shared" ref="L130:L155" si="10">IF(K130="","",(IF(AND(WEEKDAY(D130)&gt;1,WEEKDAY(D130)&lt;7),K130/8,0)))</f>
        <v/>
      </c>
      <c r="M130" s="91" t="str">
        <f t="shared" ref="M130:M155" si="11">IF(I130="","",(IF(K130=0,0,(K130/SUMIF($D$2:$D$155,D130,$K$2:$K$155)))*8))</f>
        <v/>
      </c>
      <c r="N130" s="92" t="str">
        <f t="shared" si="7"/>
        <v/>
      </c>
    </row>
    <row r="131" spans="1:14" ht="14.5">
      <c r="A131" s="76" t="str">
        <f>IF('Time Entry'!$D$7="","",'Time Entry'!$D$7)</f>
        <v>Steed Clark</v>
      </c>
      <c r="B131" s="77">
        <f>IF('Time Entry'!$F$7="","",'Time Entry'!$F$7)</f>
        <v>35</v>
      </c>
      <c r="C131" s="78">
        <f>IF('Time Entry'!$E$7="","",'Time Entry'!$E$7)</f>
        <v>44793</v>
      </c>
      <c r="D131" s="78">
        <f>IF('Time Entry'!$I$10="","",'Time Entry'!$I$10)</f>
        <v>44795</v>
      </c>
      <c r="E131" s="83">
        <f>IF('Time Entry'!$B$29="","",'Time Entry'!$B$29)</f>
        <v>14</v>
      </c>
      <c r="F131" s="83" t="str">
        <f>IF('Time Entry'!C$29="","",'Time Entry'!C$29)</f>
        <v/>
      </c>
      <c r="G131" s="83" t="str">
        <f>IF('Time Entry'!D$29="","",'Time Entry'!D$29)</f>
        <v/>
      </c>
      <c r="H131" s="83" t="str">
        <f>IF('Time Entry'!E$29="","",'Time Entry'!E$29)</f>
        <v/>
      </c>
      <c r="I131" s="83" t="str">
        <f>IF('Time Entry'!$I$29="","",'Time Entry'!$I$29)</f>
        <v/>
      </c>
      <c r="J131" s="83" t="str">
        <f>IF('Time Entry'!$F$29="","",'Time Entry'!$F$29)</f>
        <v/>
      </c>
      <c r="K131" s="77" t="str">
        <f>IF(I131="","",(IF(AND(WEEKDAY(D131)&gt;1,WEEKDAY(D131)&lt;7),(IF(I131="","",(IF(I131&gt;8,8,I131)))),0)))</f>
        <v/>
      </c>
      <c r="L131" s="88" t="str">
        <f t="shared" si="10"/>
        <v/>
      </c>
      <c r="M131" s="91" t="str">
        <f t="shared" si="11"/>
        <v/>
      </c>
      <c r="N131" s="92" t="str">
        <f t="shared" ref="N131:N155" si="12">IF(I131="","",(M131/8))</f>
        <v/>
      </c>
    </row>
    <row r="132" spans="1:14" ht="14.5">
      <c r="A132" s="76" t="str">
        <f>IF('Time Entry'!$D$7="","",'Time Entry'!$D$7)</f>
        <v>Steed Clark</v>
      </c>
      <c r="B132" s="77">
        <f>IF('Time Entry'!$F$7="","",'Time Entry'!$F$7)</f>
        <v>35</v>
      </c>
      <c r="C132" s="78">
        <f>IF('Time Entry'!$E$7="","",'Time Entry'!$E$7)</f>
        <v>44793</v>
      </c>
      <c r="D132" s="78">
        <f>IF('Time Entry'!$J$10="","",'Time Entry'!$J$10)</f>
        <v>44796</v>
      </c>
      <c r="E132" s="83">
        <f>IF('Time Entry'!$B$29="","",'Time Entry'!$B$29)</f>
        <v>14</v>
      </c>
      <c r="F132" s="83" t="str">
        <f>IF('Time Entry'!C$29="","",'Time Entry'!C$29)</f>
        <v/>
      </c>
      <c r="G132" s="83" t="str">
        <f>IF('Time Entry'!D$29="","",'Time Entry'!D$29)</f>
        <v/>
      </c>
      <c r="H132" s="83" t="str">
        <f>IF('Time Entry'!E$29="","",'Time Entry'!E$29)</f>
        <v/>
      </c>
      <c r="I132" s="83" t="str">
        <f>IF('Time Entry'!$J$29="","",'Time Entry'!$J$29)</f>
        <v/>
      </c>
      <c r="J132" s="83" t="str">
        <f>IF('Time Entry'!$F$29="","",'Time Entry'!$F$29)</f>
        <v/>
      </c>
      <c r="K132" s="77" t="str">
        <f>IF(I132="","",(IF(AND(WEEKDAY(D132)&gt;1,WEEKDAY(D132)&lt;7),(IF(I132="","",(IF(I132&gt;8,8,I132)))),0)))</f>
        <v/>
      </c>
      <c r="L132" s="88" t="str">
        <f t="shared" si="10"/>
        <v/>
      </c>
      <c r="M132" s="91" t="str">
        <f t="shared" si="11"/>
        <v/>
      </c>
      <c r="N132" s="92" t="str">
        <f t="shared" si="12"/>
        <v/>
      </c>
    </row>
    <row r="133" spans="1:14" ht="14.5">
      <c r="A133" s="76" t="str">
        <f>IF('Time Entry'!$D$7="","",'Time Entry'!$D$7)</f>
        <v>Steed Clark</v>
      </c>
      <c r="B133" s="77">
        <f>IF('Time Entry'!$F$7="","",'Time Entry'!$F$7)</f>
        <v>35</v>
      </c>
      <c r="C133" s="78">
        <f>IF('Time Entry'!$E$7="","",'Time Entry'!$E$7)</f>
        <v>44793</v>
      </c>
      <c r="D133" s="78">
        <f>IF('Time Entry'!$K$10="","",'Time Entry'!$K$10)</f>
        <v>44797</v>
      </c>
      <c r="E133" s="83">
        <f>IF('Time Entry'!$B$29="","",'Time Entry'!$B$29)</f>
        <v>14</v>
      </c>
      <c r="F133" s="83" t="str">
        <f>IF('Time Entry'!C$29="","",'Time Entry'!C$29)</f>
        <v/>
      </c>
      <c r="G133" s="83" t="str">
        <f>IF('Time Entry'!D$29="","",'Time Entry'!D$29)</f>
        <v/>
      </c>
      <c r="H133" s="83" t="str">
        <f>IF('Time Entry'!E$29="","",'Time Entry'!E$29)</f>
        <v/>
      </c>
      <c r="I133" s="83" t="str">
        <f>IF('Time Entry'!$K$29="","",'Time Entry'!$K$29)</f>
        <v/>
      </c>
      <c r="J133" s="83" t="str">
        <f>IF('Time Entry'!$F$29="","",'Time Entry'!$F$29)</f>
        <v/>
      </c>
      <c r="K133" s="77" t="str">
        <f>IF(I133="","",(IF(AND(WEEKDAY(D133)&gt;1,WEEKDAY(D133)&lt;7),(IF(I133="","",(IF(I133&gt;8,8,I133)))),0)))</f>
        <v/>
      </c>
      <c r="L133" s="88" t="str">
        <f t="shared" si="10"/>
        <v/>
      </c>
      <c r="M133" s="91" t="str">
        <f t="shared" si="11"/>
        <v/>
      </c>
      <c r="N133" s="92" t="str">
        <f t="shared" si="12"/>
        <v/>
      </c>
    </row>
    <row r="134" spans="1:14" ht="14.5">
      <c r="A134" s="76" t="str">
        <f>IF('Time Entry'!$D$7="","",'Time Entry'!$D$7)</f>
        <v>Steed Clark</v>
      </c>
      <c r="B134" s="77">
        <f>IF('Time Entry'!$F$7="","",'Time Entry'!$F$7)</f>
        <v>35</v>
      </c>
      <c r="C134" s="78">
        <f>IF('Time Entry'!$E$7="","",'Time Entry'!$E$7)</f>
        <v>44793</v>
      </c>
      <c r="D134" s="78">
        <f>IF('Time Entry'!$L$10="","",'Time Entry'!$L$10)</f>
        <v>44798</v>
      </c>
      <c r="E134" s="83">
        <f>IF('Time Entry'!$B$29="","",'Time Entry'!$B$29)</f>
        <v>14</v>
      </c>
      <c r="F134" s="83" t="str">
        <f>IF('Time Entry'!C$29="","",'Time Entry'!C$29)</f>
        <v/>
      </c>
      <c r="G134" s="83" t="str">
        <f>IF('Time Entry'!D$29="","",'Time Entry'!D$29)</f>
        <v/>
      </c>
      <c r="H134" s="83" t="str">
        <f>IF('Time Entry'!E$29="","",'Time Entry'!E$29)</f>
        <v/>
      </c>
      <c r="I134" s="83" t="str">
        <f>IF('Time Entry'!$L$29="","",'Time Entry'!$L$29)</f>
        <v/>
      </c>
      <c r="J134" s="83" t="str">
        <f>IF('Time Entry'!$F$29="","",'Time Entry'!$F$29)</f>
        <v/>
      </c>
      <c r="K134" s="77" t="str">
        <f>IF(I134="","",(IF(AND(WEEKDAY(D134)&gt;1,WEEKDAY(D134)&lt;7),(IF(I134="","",(IF(I134&gt;8,8,I134)))),0)))</f>
        <v/>
      </c>
      <c r="L134" s="88" t="str">
        <f t="shared" si="10"/>
        <v/>
      </c>
      <c r="M134" s="91" t="str">
        <f t="shared" si="11"/>
        <v/>
      </c>
      <c r="N134" s="92" t="str">
        <f t="shared" si="12"/>
        <v/>
      </c>
    </row>
    <row r="135" spans="1:14" ht="14.5">
      <c r="A135" s="76" t="str">
        <f>IF('Time Entry'!$D$7="","",'Time Entry'!$D$7)</f>
        <v>Steed Clark</v>
      </c>
      <c r="B135" s="77">
        <f>IF('Time Entry'!$F$7="","",'Time Entry'!$F$7)</f>
        <v>35</v>
      </c>
      <c r="C135" s="78">
        <f>IF('Time Entry'!$E$7="","",'Time Entry'!$E$7)</f>
        <v>44793</v>
      </c>
      <c r="D135" s="78">
        <f>IF('Time Entry'!$M$10="","",'Time Entry'!$M$10)</f>
        <v>44799</v>
      </c>
      <c r="E135" s="83">
        <f>IF('Time Entry'!$B$29="","",'Time Entry'!$B$29)</f>
        <v>14</v>
      </c>
      <c r="F135" s="83" t="str">
        <f>IF('Time Entry'!C$29="","",'Time Entry'!C$29)</f>
        <v/>
      </c>
      <c r="G135" s="83" t="str">
        <f>IF('Time Entry'!D$29="","",'Time Entry'!D$29)</f>
        <v/>
      </c>
      <c r="H135" s="83" t="str">
        <f>IF('Time Entry'!E$29="","",'Time Entry'!E$29)</f>
        <v/>
      </c>
      <c r="I135" s="83" t="str">
        <f>IF('Time Entry'!$M$29="","",'Time Entry'!$M$29)</f>
        <v/>
      </c>
      <c r="J135" s="83" t="str">
        <f>IF('Time Entry'!$F$29="","",'Time Entry'!$F$29)</f>
        <v/>
      </c>
      <c r="K135" s="77" t="str">
        <f>IF(I135="","",(IF(AND(WEEKDAY(D135)&gt;1,WEEKDAY(D135)&lt;7),(IF(I135="","",(IF(I135&gt;8,8,I135)))),0)))</f>
        <v/>
      </c>
      <c r="L135" s="88" t="str">
        <f t="shared" si="10"/>
        <v/>
      </c>
      <c r="M135" s="91" t="str">
        <f t="shared" si="11"/>
        <v/>
      </c>
      <c r="N135" s="92" t="str">
        <f t="shared" si="12"/>
        <v/>
      </c>
    </row>
    <row r="136" spans="1:14" ht="14.5">
      <c r="A136" s="76" t="str">
        <f>IF('Time Entry'!$D$7="","",'Time Entry'!$D$7)</f>
        <v>Steed Clark</v>
      </c>
      <c r="B136" s="77">
        <f>IF('Time Entry'!$F$7="","",'Time Entry'!$F$7)</f>
        <v>35</v>
      </c>
      <c r="C136" s="78">
        <f>IF('Time Entry'!$E$7="","",'Time Entry'!$E$7)</f>
        <v>44793</v>
      </c>
      <c r="D136" s="78">
        <f>IF('Time Entry'!$G$10="","",'Time Entry'!$G$10)</f>
        <v>44793</v>
      </c>
      <c r="E136" s="83">
        <f>IF('Time Entry'!$B$30="","",'Time Entry'!$B$30)</f>
        <v>15</v>
      </c>
      <c r="F136" s="83" t="str">
        <f>IF('Time Entry'!C$30="","",'Time Entry'!C$30)</f>
        <v/>
      </c>
      <c r="G136" s="83" t="str">
        <f>IF('Time Entry'!D$30="","",'Time Entry'!D$30)</f>
        <v/>
      </c>
      <c r="H136" s="83" t="str">
        <f>IF('Time Entry'!E$30="","",'Time Entry'!E$30)</f>
        <v/>
      </c>
      <c r="I136" s="83" t="str">
        <f>IF('Time Entry'!$G$30="","",'Time Entry'!$G$30)</f>
        <v/>
      </c>
      <c r="J136" s="83" t="str">
        <f>IF('Time Entry'!$F$30="","",'Time Entry'!$F$30)</f>
        <v/>
      </c>
      <c r="K136" s="77" t="str">
        <f>IF(I136="","",(IF(AND(WEEKDAY(D136)&gt;1,WEEKDAY(D136)&lt;7),(IF(I136="","",(IF(I136&gt;8,8,I136)))),0)))</f>
        <v/>
      </c>
      <c r="L136" s="88" t="str">
        <f t="shared" si="10"/>
        <v/>
      </c>
      <c r="M136" s="91" t="str">
        <f t="shared" si="11"/>
        <v/>
      </c>
      <c r="N136" s="92" t="str">
        <f t="shared" si="12"/>
        <v/>
      </c>
    </row>
    <row r="137" spans="1:14" ht="14.5">
      <c r="A137" s="76" t="str">
        <f>IF('Time Entry'!$D$7="","",'Time Entry'!$D$7)</f>
        <v>Steed Clark</v>
      </c>
      <c r="B137" s="77">
        <f>IF('Time Entry'!$F$7="","",'Time Entry'!$F$7)</f>
        <v>35</v>
      </c>
      <c r="C137" s="78">
        <f>IF('Time Entry'!$E$7="","",'Time Entry'!$E$7)</f>
        <v>44793</v>
      </c>
      <c r="D137" s="78">
        <f>IF('Time Entry'!$H$10="","",'Time Entry'!$H$10)</f>
        <v>44794</v>
      </c>
      <c r="E137" s="83">
        <f>IF('Time Entry'!$B$30="","",'Time Entry'!$B$30)</f>
        <v>15</v>
      </c>
      <c r="F137" s="83" t="str">
        <f>IF('Time Entry'!C$30="","",'Time Entry'!C$30)</f>
        <v/>
      </c>
      <c r="G137" s="83" t="str">
        <f>IF('Time Entry'!D$30="","",'Time Entry'!D$30)</f>
        <v/>
      </c>
      <c r="H137" s="83" t="str">
        <f>IF('Time Entry'!E$30="","",'Time Entry'!E$30)</f>
        <v/>
      </c>
      <c r="I137" s="83" t="str">
        <f>IF('Time Entry'!$H$30="","",'Time Entry'!$H$30)</f>
        <v/>
      </c>
      <c r="J137" s="83" t="str">
        <f>IF('Time Entry'!$F$30="","",'Time Entry'!$F$30)</f>
        <v/>
      </c>
      <c r="K137" s="77" t="str">
        <f>IF(I137="","",(IF(AND(WEEKDAY(D137)&gt;1,WEEKDAY(D137)&lt;7),(IF(I137="","",(IF(I137&gt;8,8,I137)))),0)))</f>
        <v/>
      </c>
      <c r="L137" s="88" t="str">
        <f t="shared" si="10"/>
        <v/>
      </c>
      <c r="M137" s="91" t="str">
        <f t="shared" si="11"/>
        <v/>
      </c>
      <c r="N137" s="92" t="str">
        <f t="shared" si="12"/>
        <v/>
      </c>
    </row>
    <row r="138" spans="1:14" ht="14.5">
      <c r="A138" s="76" t="str">
        <f>IF('Time Entry'!$D$7="","",'Time Entry'!$D$7)</f>
        <v>Steed Clark</v>
      </c>
      <c r="B138" s="77">
        <f>IF('Time Entry'!$F$7="","",'Time Entry'!$F$7)</f>
        <v>35</v>
      </c>
      <c r="C138" s="78">
        <f>IF('Time Entry'!$E$7="","",'Time Entry'!$E$7)</f>
        <v>44793</v>
      </c>
      <c r="D138" s="78">
        <f>IF('Time Entry'!$I$10="","",'Time Entry'!$I$10)</f>
        <v>44795</v>
      </c>
      <c r="E138" s="83">
        <f>IF('Time Entry'!$B$30="","",'Time Entry'!$B$30)</f>
        <v>15</v>
      </c>
      <c r="F138" s="83" t="str">
        <f>IF('Time Entry'!C$30="","",'Time Entry'!C$30)</f>
        <v/>
      </c>
      <c r="G138" s="83" t="str">
        <f>IF('Time Entry'!D$30="","",'Time Entry'!D$30)</f>
        <v/>
      </c>
      <c r="H138" s="83" t="str">
        <f>IF('Time Entry'!E$30="","",'Time Entry'!E$30)</f>
        <v/>
      </c>
      <c r="I138" s="83" t="str">
        <f>IF('Time Entry'!$I$30="","",'Time Entry'!$I$30)</f>
        <v/>
      </c>
      <c r="J138" s="83" t="str">
        <f>IF('Time Entry'!$F$30="","",'Time Entry'!$F$30)</f>
        <v/>
      </c>
      <c r="K138" s="77" t="str">
        <f>IF(I138="","",(IF(AND(WEEKDAY(D138)&gt;1,WEEKDAY(D138)&lt;7),(IF(I138="","",(IF(I138&gt;8,8,I138)))),0)))</f>
        <v/>
      </c>
      <c r="L138" s="88" t="str">
        <f t="shared" si="10"/>
        <v/>
      </c>
      <c r="M138" s="91" t="str">
        <f t="shared" si="11"/>
        <v/>
      </c>
      <c r="N138" s="92" t="str">
        <f t="shared" si="12"/>
        <v/>
      </c>
    </row>
    <row r="139" spans="1:14" ht="14.5">
      <c r="A139" s="76" t="str">
        <f>IF('Time Entry'!$D$7="","",'Time Entry'!$D$7)</f>
        <v>Steed Clark</v>
      </c>
      <c r="B139" s="77">
        <f>IF('Time Entry'!$F$7="","",'Time Entry'!$F$7)</f>
        <v>35</v>
      </c>
      <c r="C139" s="78">
        <f>IF('Time Entry'!$E$7="","",'Time Entry'!$E$7)</f>
        <v>44793</v>
      </c>
      <c r="D139" s="78">
        <f>IF('Time Entry'!$J$10="","",'Time Entry'!$J$10)</f>
        <v>44796</v>
      </c>
      <c r="E139" s="83">
        <f>IF('Time Entry'!$B$30="","",'Time Entry'!$B$30)</f>
        <v>15</v>
      </c>
      <c r="F139" s="83" t="str">
        <f>IF('Time Entry'!C$30="","",'Time Entry'!C$30)</f>
        <v/>
      </c>
      <c r="G139" s="83" t="str">
        <f>IF('Time Entry'!D$30="","",'Time Entry'!D$30)</f>
        <v/>
      </c>
      <c r="H139" s="83" t="str">
        <f>IF('Time Entry'!E$30="","",'Time Entry'!E$30)</f>
        <v/>
      </c>
      <c r="I139" s="83" t="str">
        <f>IF('Time Entry'!$J$30="","",'Time Entry'!$J$30)</f>
        <v/>
      </c>
      <c r="J139" s="83" t="str">
        <f>IF('Time Entry'!$F$30="","",'Time Entry'!$F$30)</f>
        <v/>
      </c>
      <c r="K139" s="77" t="str">
        <f>IF(I139="","",(IF(AND(WEEKDAY(D139)&gt;1,WEEKDAY(D139)&lt;7),(IF(I139="","",(IF(I139&gt;8,8,I139)))),0)))</f>
        <v/>
      </c>
      <c r="L139" s="88" t="str">
        <f t="shared" si="10"/>
        <v/>
      </c>
      <c r="M139" s="91" t="str">
        <f t="shared" si="11"/>
        <v/>
      </c>
      <c r="N139" s="92" t="str">
        <f t="shared" si="12"/>
        <v/>
      </c>
    </row>
    <row r="140" spans="1:14" ht="14.5">
      <c r="A140" s="76" t="str">
        <f>IF('Time Entry'!$D$7="","",'Time Entry'!$D$7)</f>
        <v>Steed Clark</v>
      </c>
      <c r="B140" s="77">
        <f>IF('Time Entry'!$F$7="","",'Time Entry'!$F$7)</f>
        <v>35</v>
      </c>
      <c r="C140" s="78">
        <f>IF('Time Entry'!$E$7="","",'Time Entry'!$E$7)</f>
        <v>44793</v>
      </c>
      <c r="D140" s="78">
        <f>IF('Time Entry'!$K$10="","",'Time Entry'!$K$10)</f>
        <v>44797</v>
      </c>
      <c r="E140" s="83">
        <f>IF('Time Entry'!$B$30="","",'Time Entry'!$B$30)</f>
        <v>15</v>
      </c>
      <c r="F140" s="83" t="str">
        <f>IF('Time Entry'!C$30="","",'Time Entry'!C$30)</f>
        <v/>
      </c>
      <c r="G140" s="83" t="str">
        <f>IF('Time Entry'!D$30="","",'Time Entry'!D$30)</f>
        <v/>
      </c>
      <c r="H140" s="83" t="str">
        <f>IF('Time Entry'!E$30="","",'Time Entry'!E$30)</f>
        <v/>
      </c>
      <c r="I140" s="83" t="str">
        <f>IF('Time Entry'!$K$30="","",'Time Entry'!$K$30)</f>
        <v/>
      </c>
      <c r="J140" s="83" t="str">
        <f>IF('Time Entry'!$F$30="","",'Time Entry'!$F$30)</f>
        <v/>
      </c>
      <c r="K140" s="77" t="str">
        <f>IF(I140="","",(IF(AND(WEEKDAY(D140)&gt;1,WEEKDAY(D140)&lt;7),(IF(I140="","",(IF(I140&gt;8,8,I140)))),0)))</f>
        <v/>
      </c>
      <c r="L140" s="88" t="str">
        <f t="shared" si="10"/>
        <v/>
      </c>
      <c r="M140" s="91" t="str">
        <f t="shared" si="11"/>
        <v/>
      </c>
      <c r="N140" s="92" t="str">
        <f t="shared" si="12"/>
        <v/>
      </c>
    </row>
    <row r="141" spans="1:14" ht="14.5">
      <c r="A141" s="76" t="str">
        <f>IF('Time Entry'!$D$7="","",'Time Entry'!$D$7)</f>
        <v>Steed Clark</v>
      </c>
      <c r="B141" s="77">
        <f>IF('Time Entry'!$F$7="","",'Time Entry'!$F$7)</f>
        <v>35</v>
      </c>
      <c r="C141" s="78">
        <f>IF('Time Entry'!$E$7="","",'Time Entry'!$E$7)</f>
        <v>44793</v>
      </c>
      <c r="D141" s="78">
        <f>IF('Time Entry'!$L$10="","",'Time Entry'!$L$10)</f>
        <v>44798</v>
      </c>
      <c r="E141" s="83">
        <f>IF('Time Entry'!$B$30="","",'Time Entry'!$B$30)</f>
        <v>15</v>
      </c>
      <c r="F141" s="83" t="str">
        <f>IF('Time Entry'!C$30="","",'Time Entry'!C$30)</f>
        <v/>
      </c>
      <c r="G141" s="83" t="str">
        <f>IF('Time Entry'!D$30="","",'Time Entry'!D$30)</f>
        <v/>
      </c>
      <c r="H141" s="83" t="str">
        <f>IF('Time Entry'!E$30="","",'Time Entry'!E$30)</f>
        <v/>
      </c>
      <c r="I141" s="83" t="str">
        <f>IF('Time Entry'!$L$30="","",'Time Entry'!$L$30)</f>
        <v/>
      </c>
      <c r="J141" s="83" t="str">
        <f>IF('Time Entry'!$F$30="","",'Time Entry'!$F$30)</f>
        <v/>
      </c>
      <c r="K141" s="77" t="str">
        <f>IF(I141="","",(IF(AND(WEEKDAY(D141)&gt;1,WEEKDAY(D141)&lt;7),(IF(I141="","",(IF(I141&gt;8,8,I141)))),0)))</f>
        <v/>
      </c>
      <c r="L141" s="88" t="str">
        <f t="shared" si="10"/>
        <v/>
      </c>
      <c r="M141" s="91" t="str">
        <f t="shared" si="11"/>
        <v/>
      </c>
      <c r="N141" s="92" t="str">
        <f t="shared" si="12"/>
        <v/>
      </c>
    </row>
    <row r="142" spans="1:14" ht="14.5">
      <c r="A142" s="76" t="str">
        <f>IF('Time Entry'!$D$7="","",'Time Entry'!$D$7)</f>
        <v>Steed Clark</v>
      </c>
      <c r="B142" s="77">
        <f>IF('Time Entry'!$F$7="","",'Time Entry'!$F$7)</f>
        <v>35</v>
      </c>
      <c r="C142" s="78">
        <f>IF('Time Entry'!$E$7="","",'Time Entry'!$E$7)</f>
        <v>44793</v>
      </c>
      <c r="D142" s="78">
        <f>IF('Time Entry'!$M$10="","",'Time Entry'!$M$10)</f>
        <v>44799</v>
      </c>
      <c r="E142" s="83">
        <f>IF('Time Entry'!$B$30="","",'Time Entry'!$B$30)</f>
        <v>15</v>
      </c>
      <c r="F142" s="83" t="str">
        <f>IF('Time Entry'!C$30="","",'Time Entry'!C$30)</f>
        <v/>
      </c>
      <c r="G142" s="83" t="str">
        <f>IF('Time Entry'!D$30="","",'Time Entry'!D$30)</f>
        <v/>
      </c>
      <c r="H142" s="83" t="str">
        <f>IF('Time Entry'!E$30="","",'Time Entry'!E$30)</f>
        <v/>
      </c>
      <c r="I142" s="83" t="str">
        <f>IF('Time Entry'!$M$30="","",'Time Entry'!$M$30)</f>
        <v/>
      </c>
      <c r="J142" s="83" t="str">
        <f>IF('Time Entry'!$F$30="","",'Time Entry'!$F$30)</f>
        <v/>
      </c>
      <c r="K142" s="77" t="str">
        <f>IF(I142="","",(IF(AND(WEEKDAY(D142)&gt;1,WEEKDAY(D142)&lt;7),(IF(I142="","",(IF(I142&gt;8,8,I142)))),0)))</f>
        <v/>
      </c>
      <c r="L142" s="88" t="str">
        <f t="shared" si="10"/>
        <v/>
      </c>
      <c r="M142" s="91" t="str">
        <f t="shared" si="11"/>
        <v/>
      </c>
      <c r="N142" s="92" t="str">
        <f t="shared" si="12"/>
        <v/>
      </c>
    </row>
    <row r="143" spans="1:14" ht="14.5">
      <c r="A143" s="76" t="str">
        <f>IF('Time Entry'!$D$7="","",'Time Entry'!$D$7)</f>
        <v>Steed Clark</v>
      </c>
      <c r="B143" s="77">
        <f>IF('Time Entry'!$F$7="","",'Time Entry'!$F$7)</f>
        <v>35</v>
      </c>
      <c r="C143" s="78">
        <f>IF('Time Entry'!$E$7="","",'Time Entry'!$E$7)</f>
        <v>44793</v>
      </c>
      <c r="D143" s="78">
        <f>IF('Time Entry'!$H$10="","",'Time Entry'!$H$10)</f>
        <v>44794</v>
      </c>
      <c r="E143" s="83" t="str">
        <f>'Time Entry'!$C$32</f>
        <v>LCOE - PTO - Holiday</v>
      </c>
      <c r="F143" s="83" t="s">
        <v>45</v>
      </c>
      <c r="G143" s="83" t="str">
        <f>'Time Entry'!$C$32</f>
        <v>LCOE - PTO - Holiday</v>
      </c>
      <c r="H143" s="83" t="str">
        <f>'Time Entry'!$E$32</f>
        <v>COE-002-PTO</v>
      </c>
      <c r="I143" s="83" t="str">
        <f>IF('Time Entry'!$H$32="","",'Time Entry'!$H$32)</f>
        <v/>
      </c>
      <c r="J143" s="83" t="str">
        <f>IF('Time Entry'!$F$32="","",'Time Entry'!$F$32)</f>
        <v/>
      </c>
      <c r="K143" s="77" t="str">
        <f>IF(I143="","",(IF(AND(WEEKDAY(D143)&gt;1,WEEKDAY(D143)&lt;7),(IF(I143="","",(IF(I143&gt;8,8,I143)))),0)))</f>
        <v/>
      </c>
      <c r="L143" s="88" t="str">
        <f t="shared" si="10"/>
        <v/>
      </c>
      <c r="M143" s="91" t="str">
        <f t="shared" si="11"/>
        <v/>
      </c>
      <c r="N143" s="92" t="str">
        <f t="shared" si="12"/>
        <v/>
      </c>
    </row>
    <row r="144" spans="1:14" ht="14.5">
      <c r="A144" s="76" t="str">
        <f>IF('Time Entry'!$D$7="","",'Time Entry'!$D$7)</f>
        <v>Steed Clark</v>
      </c>
      <c r="B144" s="77">
        <f>IF('Time Entry'!$F$7="","",'Time Entry'!$F$7)</f>
        <v>35</v>
      </c>
      <c r="C144" s="78">
        <f>IF('Time Entry'!$E$7="","",'Time Entry'!$E$7)</f>
        <v>44793</v>
      </c>
      <c r="D144" s="78">
        <f>IF('Time Entry'!$I$10="","",'Time Entry'!$I$10)</f>
        <v>44795</v>
      </c>
      <c r="E144" s="83" t="str">
        <f>'Time Entry'!$C$32</f>
        <v>LCOE - PTO - Holiday</v>
      </c>
      <c r="F144" s="83" t="s">
        <v>45</v>
      </c>
      <c r="G144" s="83" t="str">
        <f>'Time Entry'!$C$32</f>
        <v>LCOE - PTO - Holiday</v>
      </c>
      <c r="H144" s="83" t="str">
        <f>'Time Entry'!$E$32</f>
        <v>COE-002-PTO</v>
      </c>
      <c r="I144" s="83" t="str">
        <f>IF('Time Entry'!$I$32="","",'Time Entry'!$I$32)</f>
        <v/>
      </c>
      <c r="J144" s="83" t="str">
        <f>IF('Time Entry'!$F$32="","",'Time Entry'!$F$32)</f>
        <v/>
      </c>
      <c r="K144" s="77" t="str">
        <f>IF(I144="","",(IF(AND(WEEKDAY(D144)&gt;1,WEEKDAY(D144)&lt;7),(IF(I144="","",(IF(I144&gt;8,8,I144)))),0)))</f>
        <v/>
      </c>
      <c r="L144" s="88" t="str">
        <f t="shared" si="10"/>
        <v/>
      </c>
      <c r="M144" s="91" t="str">
        <f t="shared" si="11"/>
        <v/>
      </c>
      <c r="N144" s="92" t="str">
        <f t="shared" si="12"/>
        <v/>
      </c>
    </row>
    <row r="145" spans="1:14" ht="14.5">
      <c r="A145" s="76" t="str">
        <f>IF('Time Entry'!$D$7="","",'Time Entry'!$D$7)</f>
        <v>Steed Clark</v>
      </c>
      <c r="B145" s="77">
        <f>IF('Time Entry'!$F$7="","",'Time Entry'!$F$7)</f>
        <v>35</v>
      </c>
      <c r="C145" s="78">
        <f>IF('Time Entry'!$E$7="","",'Time Entry'!$E$7)</f>
        <v>44793</v>
      </c>
      <c r="D145" s="78">
        <f>IF('Time Entry'!$J$10="","",'Time Entry'!$J$10)</f>
        <v>44796</v>
      </c>
      <c r="E145" s="83" t="str">
        <f>'Time Entry'!$C$32</f>
        <v>LCOE - PTO - Holiday</v>
      </c>
      <c r="F145" s="83" t="s">
        <v>45</v>
      </c>
      <c r="G145" s="83" t="str">
        <f>'Time Entry'!$C$32</f>
        <v>LCOE - PTO - Holiday</v>
      </c>
      <c r="H145" s="83" t="str">
        <f>'Time Entry'!$E$32</f>
        <v>COE-002-PTO</v>
      </c>
      <c r="I145" s="83" t="str">
        <f>IF('Time Entry'!$J$32="","",'Time Entry'!$J$32)</f>
        <v/>
      </c>
      <c r="J145" s="83" t="str">
        <f>IF('Time Entry'!$F$32="","",'Time Entry'!$F$32)</f>
        <v/>
      </c>
      <c r="K145" s="77" t="str">
        <f>IF(I145="","",(IF(AND(WEEKDAY(D145)&gt;1,WEEKDAY(D145)&lt;7),(IF(I145="","",(IF(I145&gt;8,8,I145)))),0)))</f>
        <v/>
      </c>
      <c r="L145" s="88" t="str">
        <f t="shared" si="10"/>
        <v/>
      </c>
      <c r="M145" s="91" t="str">
        <f t="shared" si="11"/>
        <v/>
      </c>
      <c r="N145" s="92" t="str">
        <f t="shared" si="12"/>
        <v/>
      </c>
    </row>
    <row r="146" spans="1:14" ht="14.5">
      <c r="A146" s="76" t="str">
        <f>IF('Time Entry'!$D$7="","",'Time Entry'!$D$7)</f>
        <v>Steed Clark</v>
      </c>
      <c r="B146" s="77">
        <f>IF('Time Entry'!$F$7="","",'Time Entry'!$F$7)</f>
        <v>35</v>
      </c>
      <c r="C146" s="78">
        <f>IF('Time Entry'!$E$7="","",'Time Entry'!$E$7)</f>
        <v>44793</v>
      </c>
      <c r="D146" s="78">
        <f>IF('Time Entry'!$K$10="","",'Time Entry'!$K$10)</f>
        <v>44797</v>
      </c>
      <c r="E146" s="83" t="str">
        <f>'Time Entry'!$C$32</f>
        <v>LCOE - PTO - Holiday</v>
      </c>
      <c r="F146" s="83" t="s">
        <v>45</v>
      </c>
      <c r="G146" s="83" t="str">
        <f>'Time Entry'!$C$32</f>
        <v>LCOE - PTO - Holiday</v>
      </c>
      <c r="H146" s="83" t="str">
        <f>'Time Entry'!$E$32</f>
        <v>COE-002-PTO</v>
      </c>
      <c r="I146" s="83" t="str">
        <f>IF('Time Entry'!$K$32="","",'Time Entry'!$K$32)</f>
        <v/>
      </c>
      <c r="J146" s="83" t="str">
        <f>IF('Time Entry'!$F$32="","",'Time Entry'!$F$32)</f>
        <v/>
      </c>
      <c r="K146" s="77" t="str">
        <f>IF(I146="","",(IF(AND(WEEKDAY(D146)&gt;1,WEEKDAY(D146)&lt;7),(IF(I146="","",(IF(I146&gt;8,8,I146)))),0)))</f>
        <v/>
      </c>
      <c r="L146" s="88" t="str">
        <f t="shared" si="10"/>
        <v/>
      </c>
      <c r="M146" s="91" t="str">
        <f t="shared" si="11"/>
        <v/>
      </c>
      <c r="N146" s="92" t="str">
        <f t="shared" si="12"/>
        <v/>
      </c>
    </row>
    <row r="147" spans="1:14" ht="14.5">
      <c r="A147" s="76" t="str">
        <f>IF('Time Entry'!$D$7="","",'Time Entry'!$D$7)</f>
        <v>Steed Clark</v>
      </c>
      <c r="B147" s="77">
        <f>IF('Time Entry'!$F$7="","",'Time Entry'!$F$7)</f>
        <v>35</v>
      </c>
      <c r="C147" s="78">
        <f>IF('Time Entry'!$E$7="","",'Time Entry'!$E$7)</f>
        <v>44793</v>
      </c>
      <c r="D147" s="78">
        <f>IF('Time Entry'!$L$10="","",'Time Entry'!$L$10)</f>
        <v>44798</v>
      </c>
      <c r="E147" s="83" t="str">
        <f>'Time Entry'!$C$32</f>
        <v>LCOE - PTO - Holiday</v>
      </c>
      <c r="F147" s="83" t="s">
        <v>45</v>
      </c>
      <c r="G147" s="83" t="str">
        <f>'Time Entry'!$C$32</f>
        <v>LCOE - PTO - Holiday</v>
      </c>
      <c r="H147" s="83" t="str">
        <f>'Time Entry'!$E$32</f>
        <v>COE-002-PTO</v>
      </c>
      <c r="I147" s="83" t="str">
        <f>IF('Time Entry'!$L$32="","",'Time Entry'!$L$32)</f>
        <v/>
      </c>
      <c r="J147" s="83" t="str">
        <f>IF('Time Entry'!$F$32="","",'Time Entry'!$F$32)</f>
        <v/>
      </c>
      <c r="K147" s="77" t="str">
        <f>IF(I147="","",(IF(AND(WEEKDAY(D147)&gt;1,WEEKDAY(D147)&lt;7),(IF(I147="","",(IF(I147&gt;8,8,I147)))),0)))</f>
        <v/>
      </c>
      <c r="L147" s="88" t="str">
        <f t="shared" si="10"/>
        <v/>
      </c>
      <c r="M147" s="91" t="str">
        <f t="shared" si="11"/>
        <v/>
      </c>
      <c r="N147" s="92" t="str">
        <f t="shared" si="12"/>
        <v/>
      </c>
    </row>
    <row r="148" spans="1:14" ht="14.5">
      <c r="A148" s="76" t="str">
        <f>IF('Time Entry'!$D$7="","",'Time Entry'!$D$7)</f>
        <v>Steed Clark</v>
      </c>
      <c r="B148" s="77">
        <f>IF('Time Entry'!$F$7="","",'Time Entry'!$F$7)</f>
        <v>35</v>
      </c>
      <c r="C148" s="78">
        <f>IF('Time Entry'!$E$7="","",'Time Entry'!$E$7)</f>
        <v>44793</v>
      </c>
      <c r="D148" s="78">
        <f>IF('Time Entry'!$M$10="","",'Time Entry'!$M$10)</f>
        <v>44799</v>
      </c>
      <c r="E148" s="83" t="str">
        <f>'Time Entry'!$C$32</f>
        <v>LCOE - PTO - Holiday</v>
      </c>
      <c r="F148" s="83" t="s">
        <v>45</v>
      </c>
      <c r="G148" s="83" t="str">
        <f>'Time Entry'!$C$32</f>
        <v>LCOE - PTO - Holiday</v>
      </c>
      <c r="H148" s="83" t="str">
        <f>'Time Entry'!$E$32</f>
        <v>COE-002-PTO</v>
      </c>
      <c r="I148" s="83" t="str">
        <f>IF('Time Entry'!$M$32="","",'Time Entry'!$M$32)</f>
        <v/>
      </c>
      <c r="J148" s="83" t="str">
        <f>IF('Time Entry'!$F$32="","",'Time Entry'!$F$32)</f>
        <v/>
      </c>
      <c r="K148" s="77" t="str">
        <f>IF(I148="","",(IF(AND(WEEKDAY(D148)&gt;1,WEEKDAY(D148)&lt;7),(IF(I148="","",(IF(I148&gt;8,8,I148)))),0)))</f>
        <v/>
      </c>
      <c r="L148" s="88" t="str">
        <f t="shared" si="10"/>
        <v/>
      </c>
      <c r="M148" s="91" t="str">
        <f t="shared" si="11"/>
        <v/>
      </c>
      <c r="N148" s="92" t="str">
        <f t="shared" si="12"/>
        <v/>
      </c>
    </row>
    <row r="149" spans="1:14" ht="14.5">
      <c r="A149" s="76" t="str">
        <f>IF('Time Entry'!$D$7="","",'Time Entry'!$D$7)</f>
        <v>Steed Clark</v>
      </c>
      <c r="B149" s="77">
        <f>IF('Time Entry'!$F$7="","",'Time Entry'!$F$7)</f>
        <v>35</v>
      </c>
      <c r="C149" s="78">
        <f>IF('Time Entry'!$E$7="","",'Time Entry'!$E$7)</f>
        <v>44793</v>
      </c>
      <c r="D149" s="78">
        <f>IF('Time Entry'!$G$10="","",'Time Entry'!$G$10)</f>
        <v>44793</v>
      </c>
      <c r="E149" s="83" t="str">
        <f>'Time Entry'!$C$31</f>
        <v>LCOE - PTO - Paid Time Off</v>
      </c>
      <c r="F149" s="83" t="s">
        <v>45</v>
      </c>
      <c r="G149" s="83" t="str">
        <f>'Time Entry'!$C$31</f>
        <v>LCOE - PTO - Paid Time Off</v>
      </c>
      <c r="H149" s="83" t="str">
        <f>'Time Entry'!$E$31</f>
        <v>COE-001-PTO</v>
      </c>
      <c r="I149" s="83" t="str">
        <f>IF('Time Entry'!$G$31="","",'Time Entry'!$G$31)</f>
        <v/>
      </c>
      <c r="J149" s="83" t="str">
        <f>IF('Time Entry'!$F$31="","",'Time Entry'!$F$31)</f>
        <v/>
      </c>
      <c r="K149" s="77" t="str">
        <f>IF(I149="","",(IF(AND(WEEKDAY(D149)&gt;1,WEEKDAY(D149)&lt;7),(IF(I149="","",(IF(I149&gt;8,8,I149)))),0)))</f>
        <v/>
      </c>
      <c r="L149" s="88" t="str">
        <f t="shared" si="10"/>
        <v/>
      </c>
      <c r="M149" s="91" t="str">
        <f t="shared" si="11"/>
        <v/>
      </c>
      <c r="N149" s="92" t="str">
        <f t="shared" si="12"/>
        <v/>
      </c>
    </row>
    <row r="150" spans="1:14" ht="14.5">
      <c r="A150" s="76" t="str">
        <f>IF('Time Entry'!$D$7="","",'Time Entry'!$D$7)</f>
        <v>Steed Clark</v>
      </c>
      <c r="B150" s="77">
        <f>IF('Time Entry'!$F$7="","",'Time Entry'!$F$7)</f>
        <v>35</v>
      </c>
      <c r="C150" s="78">
        <f>IF('Time Entry'!$E$7="","",'Time Entry'!$E$7)</f>
        <v>44793</v>
      </c>
      <c r="D150" s="78">
        <f>IF('Time Entry'!$H$10="","",'Time Entry'!$H$10)</f>
        <v>44794</v>
      </c>
      <c r="E150" s="83" t="str">
        <f>'Time Entry'!$C$31</f>
        <v>LCOE - PTO - Paid Time Off</v>
      </c>
      <c r="F150" s="83" t="s">
        <v>45</v>
      </c>
      <c r="G150" s="83" t="str">
        <f>'Time Entry'!$C$31</f>
        <v>LCOE - PTO - Paid Time Off</v>
      </c>
      <c r="H150" s="83" t="str">
        <f>'Time Entry'!$E$31</f>
        <v>COE-001-PTO</v>
      </c>
      <c r="I150" s="83" t="str">
        <f>IF('Time Entry'!$H$31="","",'Time Entry'!$H$31)</f>
        <v/>
      </c>
      <c r="J150" s="83" t="str">
        <f>IF('Time Entry'!$F$31="","",'Time Entry'!$F$31)</f>
        <v/>
      </c>
      <c r="K150" s="77" t="str">
        <f>IF(I150="","",(IF(AND(WEEKDAY(D150)&gt;1,WEEKDAY(D150)&lt;7),(IF(I150="","",(IF(I150&gt;8,8,I150)))),0)))</f>
        <v/>
      </c>
      <c r="L150" s="88" t="str">
        <f t="shared" si="10"/>
        <v/>
      </c>
      <c r="M150" s="91" t="str">
        <f t="shared" si="11"/>
        <v/>
      </c>
      <c r="N150" s="92" t="str">
        <f t="shared" si="12"/>
        <v/>
      </c>
    </row>
    <row r="151" spans="1:14" ht="14.5">
      <c r="A151" s="76" t="str">
        <f>IF('Time Entry'!$D$7="","",'Time Entry'!$D$7)</f>
        <v>Steed Clark</v>
      </c>
      <c r="B151" s="77">
        <f>IF('Time Entry'!$F$7="","",'Time Entry'!$F$7)</f>
        <v>35</v>
      </c>
      <c r="C151" s="78">
        <f>IF('Time Entry'!$E$7="","",'Time Entry'!$E$7)</f>
        <v>44793</v>
      </c>
      <c r="D151" s="78">
        <f>IF('Time Entry'!$I$10="","",'Time Entry'!$I$10)</f>
        <v>44795</v>
      </c>
      <c r="E151" s="83" t="str">
        <f>'Time Entry'!$C$31</f>
        <v>LCOE - PTO - Paid Time Off</v>
      </c>
      <c r="F151" s="83" t="s">
        <v>45</v>
      </c>
      <c r="G151" s="83" t="str">
        <f>'Time Entry'!$C$31</f>
        <v>LCOE - PTO - Paid Time Off</v>
      </c>
      <c r="H151" s="83" t="str">
        <f>'Time Entry'!$E$31</f>
        <v>COE-001-PTO</v>
      </c>
      <c r="I151" s="83" t="str">
        <f>IF('Time Entry'!$I$31="","",'Time Entry'!$I$31)</f>
        <v/>
      </c>
      <c r="J151" s="83" t="str">
        <f>IF('Time Entry'!$F$31="","",'Time Entry'!$F$31)</f>
        <v/>
      </c>
      <c r="K151" s="77" t="str">
        <f>IF(I151="","",(IF(AND(WEEKDAY(D151)&gt;1,WEEKDAY(D151)&lt;7),(IF(I151="","",(IF(I151&gt;8,8,I151)))),0)))</f>
        <v/>
      </c>
      <c r="L151" s="88" t="str">
        <f t="shared" si="10"/>
        <v/>
      </c>
      <c r="M151" s="91" t="str">
        <f t="shared" si="11"/>
        <v/>
      </c>
      <c r="N151" s="92" t="str">
        <f t="shared" si="12"/>
        <v/>
      </c>
    </row>
    <row r="152" spans="1:14" ht="14.5">
      <c r="A152" s="76" t="str">
        <f>IF('Time Entry'!$D$7="","",'Time Entry'!$D$7)</f>
        <v>Steed Clark</v>
      </c>
      <c r="B152" s="77">
        <f>IF('Time Entry'!$F$7="","",'Time Entry'!$F$7)</f>
        <v>35</v>
      </c>
      <c r="C152" s="78">
        <f>IF('Time Entry'!$E$7="","",'Time Entry'!$E$7)</f>
        <v>44793</v>
      </c>
      <c r="D152" s="78">
        <f>IF('Time Entry'!$J$10="","",'Time Entry'!$J$10)</f>
        <v>44796</v>
      </c>
      <c r="E152" s="83" t="str">
        <f>'Time Entry'!$C$31</f>
        <v>LCOE - PTO - Paid Time Off</v>
      </c>
      <c r="F152" s="83" t="s">
        <v>45</v>
      </c>
      <c r="G152" s="83" t="str">
        <f>'Time Entry'!$C$31</f>
        <v>LCOE - PTO - Paid Time Off</v>
      </c>
      <c r="H152" s="83" t="str">
        <f>'Time Entry'!$E$31</f>
        <v>COE-001-PTO</v>
      </c>
      <c r="I152" s="83" t="str">
        <f>IF('Time Entry'!$J$31="","",'Time Entry'!$J$31)</f>
        <v/>
      </c>
      <c r="J152" s="83" t="str">
        <f>IF('Time Entry'!$F$31="","",'Time Entry'!$F$31)</f>
        <v/>
      </c>
      <c r="K152" s="77" t="str">
        <f>IF(I152="","",(IF(AND(WEEKDAY(D152)&gt;1,WEEKDAY(D152)&lt;7),(IF(I152="","",(IF(I152&gt;8,8,I152)))),0)))</f>
        <v/>
      </c>
      <c r="L152" s="88" t="str">
        <f t="shared" si="10"/>
        <v/>
      </c>
      <c r="M152" s="91" t="str">
        <f t="shared" si="11"/>
        <v/>
      </c>
      <c r="N152" s="92" t="str">
        <f t="shared" si="12"/>
        <v/>
      </c>
    </row>
    <row r="153" spans="1:14" ht="14.5">
      <c r="A153" s="76" t="str">
        <f>IF('Time Entry'!$D$7="","",'Time Entry'!$D$7)</f>
        <v>Steed Clark</v>
      </c>
      <c r="B153" s="77">
        <f>IF('Time Entry'!$F$7="","",'Time Entry'!$F$7)</f>
        <v>35</v>
      </c>
      <c r="C153" s="78">
        <f>IF('Time Entry'!$E$7="","",'Time Entry'!$E$7)</f>
        <v>44793</v>
      </c>
      <c r="D153" s="78">
        <f>IF('Time Entry'!$K$10="","",'Time Entry'!$K$10)</f>
        <v>44797</v>
      </c>
      <c r="E153" s="83" t="str">
        <f>'Time Entry'!$C$31</f>
        <v>LCOE - PTO - Paid Time Off</v>
      </c>
      <c r="F153" s="83" t="s">
        <v>45</v>
      </c>
      <c r="G153" s="83" t="str">
        <f>'Time Entry'!$C$31</f>
        <v>LCOE - PTO - Paid Time Off</v>
      </c>
      <c r="H153" s="83" t="str">
        <f>'Time Entry'!$E$31</f>
        <v>COE-001-PTO</v>
      </c>
      <c r="I153" s="83" t="str">
        <f>IF('Time Entry'!$K$31="","",'Time Entry'!$K$31)</f>
        <v/>
      </c>
      <c r="J153" s="83" t="str">
        <f>IF('Time Entry'!$F$31="","",'Time Entry'!$F$31)</f>
        <v/>
      </c>
      <c r="K153" s="77" t="str">
        <f>IF(I153="","",(IF(AND(WEEKDAY(D153)&gt;1,WEEKDAY(D153)&lt;7),(IF(I153="","",(IF(I153&gt;8,8,I153)))),0)))</f>
        <v/>
      </c>
      <c r="L153" s="88" t="str">
        <f t="shared" si="10"/>
        <v/>
      </c>
      <c r="M153" s="91" t="str">
        <f t="shared" si="11"/>
        <v/>
      </c>
      <c r="N153" s="92" t="str">
        <f t="shared" si="12"/>
        <v/>
      </c>
    </row>
    <row r="154" spans="1:14" ht="14.5">
      <c r="A154" s="76" t="str">
        <f>IF('Time Entry'!$D$7="","",'Time Entry'!$D$7)</f>
        <v>Steed Clark</v>
      </c>
      <c r="B154" s="77">
        <f>IF('Time Entry'!$F$7="","",'Time Entry'!$F$7)</f>
        <v>35</v>
      </c>
      <c r="C154" s="78">
        <f>IF('Time Entry'!$E$7="","",'Time Entry'!$E$7)</f>
        <v>44793</v>
      </c>
      <c r="D154" s="78">
        <f>IF('Time Entry'!$L$10="","",'Time Entry'!$L$10)</f>
        <v>44798</v>
      </c>
      <c r="E154" s="83" t="str">
        <f>'Time Entry'!$C$31</f>
        <v>LCOE - PTO - Paid Time Off</v>
      </c>
      <c r="F154" s="83" t="s">
        <v>45</v>
      </c>
      <c r="G154" s="83" t="str">
        <f>'Time Entry'!$C$31</f>
        <v>LCOE - PTO - Paid Time Off</v>
      </c>
      <c r="H154" s="83" t="str">
        <f>'Time Entry'!$E$31</f>
        <v>COE-001-PTO</v>
      </c>
      <c r="I154" s="83" t="str">
        <f>IF('Time Entry'!$L$31="","",'Time Entry'!$L$31)</f>
        <v/>
      </c>
      <c r="J154" s="83" t="str">
        <f>IF('Time Entry'!$F$31="","",'Time Entry'!$F$31)</f>
        <v/>
      </c>
      <c r="K154" s="77" t="str">
        <f>IF(I154="","",(IF(AND(WEEKDAY(D154)&gt;1,WEEKDAY(D154)&lt;7),(IF(I154="","",(IF(I154&gt;8,8,I154)))),0)))</f>
        <v/>
      </c>
      <c r="L154" s="88" t="str">
        <f t="shared" si="10"/>
        <v/>
      </c>
      <c r="M154" s="91" t="str">
        <f t="shared" si="11"/>
        <v/>
      </c>
      <c r="N154" s="92" t="str">
        <f t="shared" si="12"/>
        <v/>
      </c>
    </row>
    <row r="155" spans="1:14" ht="15" thickBot="1">
      <c r="A155" s="79" t="str">
        <f>IF('Time Entry'!$D$7="","",'Time Entry'!$D$7)</f>
        <v>Steed Clark</v>
      </c>
      <c r="B155" s="80">
        <f>IF('Time Entry'!$F$7="","",'Time Entry'!$F$7)</f>
        <v>35</v>
      </c>
      <c r="C155" s="81">
        <f>IF('Time Entry'!$E$7="","",'Time Entry'!$E$7)</f>
        <v>44793</v>
      </c>
      <c r="D155" s="81">
        <f>IF('Time Entry'!$M$10="","",'Time Entry'!$M$10)</f>
        <v>44799</v>
      </c>
      <c r="E155" s="84" t="str">
        <f>'Time Entry'!$C$31</f>
        <v>LCOE - PTO - Paid Time Off</v>
      </c>
      <c r="F155" s="84" t="s">
        <v>45</v>
      </c>
      <c r="G155" s="84" t="str">
        <f>'Time Entry'!$C$31</f>
        <v>LCOE - PTO - Paid Time Off</v>
      </c>
      <c r="H155" s="84" t="str">
        <f>'Time Entry'!$E$31</f>
        <v>COE-001-PTO</v>
      </c>
      <c r="I155" s="84" t="str">
        <f>IF('Time Entry'!$M$31="","",'Time Entry'!$M$31)</f>
        <v/>
      </c>
      <c r="J155" s="84" t="str">
        <f>IF('Time Entry'!$F$31="","",'Time Entry'!$F$31)</f>
        <v/>
      </c>
      <c r="K155" s="80" t="str">
        <f>IF(I155="","",(IF(AND(WEEKDAY(D155)&gt;1,WEEKDAY(D155)&lt;7),(IF(I155="","",(IF(I155&gt;8,8,I155)))),0)))</f>
        <v/>
      </c>
      <c r="L155" s="93" t="str">
        <f t="shared" si="10"/>
        <v/>
      </c>
      <c r="M155" s="94" t="str">
        <f t="shared" si="11"/>
        <v/>
      </c>
      <c r="N155" s="95" t="str">
        <f t="shared" si="12"/>
        <v/>
      </c>
    </row>
  </sheetData>
  <sheetProtection algorithmName="SHA-512" hashValue="TBncF38ys0NKy5nsk+2TCXl2gWctzkPje5jhRsesRt7OA60smHrDSEjhLemGyu0yY6yG+D6jY+6VxkchfFlTUg==" saltValue="4ExMgY4B8zYwQEoKFEHG5w==" spinCount="100000" sheet="1" formatCells="0" formatColumns="0" formatRows="0" insertColumns="0" insertRows="0" sort="0" autoFilter="0"/>
  <sortState xmlns:xlrd2="http://schemas.microsoft.com/office/spreadsheetml/2017/richdata2" ref="A2:K155">
    <sortCondition ref="I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B3216-53FE-4F97-B5FF-A10EAD0601C5}">
  <sheetPr codeName="Sheet8"/>
  <dimension ref="A1:V122"/>
  <sheetViews>
    <sheetView showGridLines="0" zoomScale="80" zoomScaleNormal="80" workbookViewId="0"/>
  </sheetViews>
  <sheetFormatPr defaultColWidth="8.88671875" defaultRowHeight="13"/>
  <cols>
    <col min="1" max="1" width="1.88671875" style="5" customWidth="1"/>
    <col min="2" max="2" width="9.109375" style="5" customWidth="1"/>
    <col min="3" max="3" width="17.21875" style="5" customWidth="1"/>
    <col min="4" max="4" width="16.5546875" style="5" bestFit="1" customWidth="1"/>
    <col min="5" max="5" width="37" style="5" customWidth="1"/>
    <col min="6" max="6" width="28.6640625" style="5" bestFit="1" customWidth="1"/>
    <col min="7" max="7" width="71.5546875" style="5" customWidth="1"/>
    <col min="8" max="8" width="39" style="5" bestFit="1" customWidth="1"/>
    <col min="9" max="9" width="13.5546875" style="5" bestFit="1" customWidth="1"/>
    <col min="10" max="10" width="11.33203125" style="5" customWidth="1"/>
    <col min="11" max="11" width="14.109375" style="5" bestFit="1" customWidth="1"/>
    <col min="12" max="12" width="14.6640625" style="5" bestFit="1" customWidth="1"/>
    <col min="13" max="13" width="11.21875" style="5" customWidth="1"/>
    <col min="14" max="14" width="33.109375" style="5" hidden="1" customWidth="1"/>
    <col min="15" max="15" width="9.88671875" style="5" hidden="1" customWidth="1"/>
    <col min="16" max="16" width="0" style="5" hidden="1" customWidth="1"/>
    <col min="17" max="17" width="39" style="5" hidden="1" customWidth="1"/>
    <col min="18" max="18" width="8.109375" style="5" hidden="1" customWidth="1"/>
    <col min="19" max="21" width="0" style="5" hidden="1" customWidth="1"/>
    <col min="22" max="22" width="29.88671875" style="5" hidden="1" customWidth="1"/>
    <col min="23" max="16384" width="8.88671875" style="5"/>
  </cols>
  <sheetData>
    <row r="1" spans="1:21" ht="25.15" customHeight="1">
      <c r="D1" s="6"/>
    </row>
    <row r="2" spans="1:21" ht="5.25" customHeight="1"/>
    <row r="3" spans="1:21" ht="13.5" customHeight="1" thickBot="1"/>
    <row r="4" spans="1:21" ht="26.5" customHeight="1" thickBot="1">
      <c r="D4" s="236" t="s">
        <v>18</v>
      </c>
      <c r="E4" s="237"/>
      <c r="G4" s="238" t="s">
        <v>39</v>
      </c>
      <c r="H4" s="240">
        <v>44791</v>
      </c>
      <c r="Q4" s="232" t="s">
        <v>183</v>
      </c>
      <c r="S4" s="234" t="s">
        <v>155</v>
      </c>
      <c r="U4" s="66" t="s">
        <v>17</v>
      </c>
    </row>
    <row r="5" spans="1:21" ht="13.5" thickBot="1">
      <c r="D5" s="31" t="s">
        <v>13</v>
      </c>
      <c r="E5" s="32" t="s">
        <v>14</v>
      </c>
      <c r="G5" s="239"/>
      <c r="H5" s="241"/>
      <c r="Q5" s="233"/>
      <c r="S5" s="235"/>
      <c r="U5" s="49" t="s">
        <v>214</v>
      </c>
    </row>
    <row r="6" spans="1:21">
      <c r="D6" s="33" t="s">
        <v>178</v>
      </c>
      <c r="E6" s="34" t="s">
        <v>289</v>
      </c>
      <c r="Q6" s="44" t="s">
        <v>184</v>
      </c>
      <c r="S6" s="44" t="s">
        <v>156</v>
      </c>
      <c r="U6" s="116" t="s">
        <v>215</v>
      </c>
    </row>
    <row r="7" spans="1:21" ht="13.5" thickBot="1">
      <c r="D7" s="33" t="s">
        <v>283</v>
      </c>
      <c r="E7" s="142" t="s">
        <v>284</v>
      </c>
      <c r="Q7" s="45" t="s">
        <v>185</v>
      </c>
      <c r="S7" s="47" t="s">
        <v>157</v>
      </c>
      <c r="U7" s="116" t="s">
        <v>255</v>
      </c>
    </row>
    <row r="8" spans="1:21" ht="15.5" customHeight="1">
      <c r="D8" s="33" t="s">
        <v>83</v>
      </c>
      <c r="E8" s="142" t="s">
        <v>282</v>
      </c>
      <c r="Q8" s="45" t="s">
        <v>186</v>
      </c>
      <c r="U8" s="116" t="s">
        <v>256</v>
      </c>
    </row>
    <row r="9" spans="1:21" ht="15.5" customHeight="1" thickBot="1">
      <c r="D9" s="35" t="s">
        <v>179</v>
      </c>
      <c r="E9" s="145" t="s">
        <v>180</v>
      </c>
      <c r="Q9" s="45" t="s">
        <v>187</v>
      </c>
      <c r="U9" s="116" t="s">
        <v>258</v>
      </c>
    </row>
    <row r="10" spans="1:21" ht="15.5" customHeight="1" thickBot="1"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Q10" s="45" t="s">
        <v>188</v>
      </c>
      <c r="U10" s="116" t="s">
        <v>257</v>
      </c>
    </row>
    <row r="11" spans="1:21" s="7" customFormat="1" ht="38.5" customHeight="1" thickBot="1">
      <c r="D11" s="62" t="s">
        <v>31</v>
      </c>
      <c r="E11" s="144" t="s">
        <v>16</v>
      </c>
      <c r="F11" s="144" t="s">
        <v>33</v>
      </c>
      <c r="G11" s="144" t="s">
        <v>34</v>
      </c>
      <c r="H11" s="144" t="s">
        <v>17</v>
      </c>
      <c r="I11" s="144" t="s">
        <v>40</v>
      </c>
      <c r="J11" s="144" t="s">
        <v>51</v>
      </c>
      <c r="K11" s="144" t="s">
        <v>12</v>
      </c>
      <c r="L11" s="63" t="s">
        <v>155</v>
      </c>
      <c r="N11" s="144" t="s">
        <v>183</v>
      </c>
      <c r="Q11" s="46" t="s">
        <v>189</v>
      </c>
      <c r="U11" s="116" t="s">
        <v>288</v>
      </c>
    </row>
    <row r="12" spans="1:21">
      <c r="A12" s="50"/>
      <c r="D12" s="181" t="s">
        <v>13</v>
      </c>
      <c r="E12" s="182" t="s">
        <v>217</v>
      </c>
      <c r="F12" s="183" t="s">
        <v>14</v>
      </c>
      <c r="G12" s="184" t="s">
        <v>427</v>
      </c>
      <c r="H12" s="182" t="s">
        <v>214</v>
      </c>
      <c r="I12" s="182" t="s">
        <v>23</v>
      </c>
      <c r="J12" s="185" t="s">
        <v>13</v>
      </c>
      <c r="K12" s="186" t="s">
        <v>315</v>
      </c>
      <c r="L12" s="187" t="s">
        <v>156</v>
      </c>
      <c r="N12" s="42" t="s">
        <v>218</v>
      </c>
      <c r="Q12" s="45" t="s">
        <v>158</v>
      </c>
      <c r="U12" s="46" t="s">
        <v>296</v>
      </c>
    </row>
    <row r="13" spans="1:21">
      <c r="D13" s="188" t="s">
        <v>13</v>
      </c>
      <c r="E13" s="189" t="s">
        <v>181</v>
      </c>
      <c r="F13" s="183" t="s">
        <v>14</v>
      </c>
      <c r="G13" s="184" t="s">
        <v>428</v>
      </c>
      <c r="H13" s="189" t="s">
        <v>214</v>
      </c>
      <c r="I13" s="189" t="s">
        <v>9</v>
      </c>
      <c r="J13" s="190" t="s">
        <v>13</v>
      </c>
      <c r="K13" s="186" t="s">
        <v>313</v>
      </c>
      <c r="L13" s="187" t="s">
        <v>156</v>
      </c>
      <c r="N13" s="43" t="s">
        <v>189</v>
      </c>
      <c r="Q13" s="45" t="s">
        <v>190</v>
      </c>
      <c r="U13" s="46" t="s">
        <v>298</v>
      </c>
    </row>
    <row r="14" spans="1:21">
      <c r="A14" s="6"/>
      <c r="D14" s="181" t="s">
        <v>13</v>
      </c>
      <c r="E14" s="182" t="s">
        <v>499</v>
      </c>
      <c r="F14" s="183" t="s">
        <v>14</v>
      </c>
      <c r="G14" s="184" t="s">
        <v>500</v>
      </c>
      <c r="H14" s="189" t="s">
        <v>501</v>
      </c>
      <c r="I14" s="189" t="s">
        <v>9</v>
      </c>
      <c r="J14" s="190" t="s">
        <v>13</v>
      </c>
      <c r="K14" s="186" t="s">
        <v>502</v>
      </c>
      <c r="L14" s="187" t="s">
        <v>156</v>
      </c>
      <c r="N14" s="43" t="s">
        <v>158</v>
      </c>
      <c r="Q14" s="45" t="s">
        <v>191</v>
      </c>
      <c r="U14" s="46" t="s">
        <v>299</v>
      </c>
    </row>
    <row r="15" spans="1:21">
      <c r="A15" s="6"/>
      <c r="D15" s="181" t="s">
        <v>13</v>
      </c>
      <c r="E15" s="182" t="s">
        <v>297</v>
      </c>
      <c r="F15" s="183" t="s">
        <v>14</v>
      </c>
      <c r="G15" s="184" t="s">
        <v>429</v>
      </c>
      <c r="H15" s="189" t="s">
        <v>298</v>
      </c>
      <c r="I15" s="189" t="s">
        <v>9</v>
      </c>
      <c r="J15" s="190" t="s">
        <v>13</v>
      </c>
      <c r="K15" s="186" t="s">
        <v>330</v>
      </c>
      <c r="L15" s="187" t="s">
        <v>156</v>
      </c>
      <c r="N15" s="42" t="s">
        <v>190</v>
      </c>
      <c r="Q15" s="45" t="s">
        <v>192</v>
      </c>
      <c r="U15" s="46" t="s">
        <v>300</v>
      </c>
    </row>
    <row r="16" spans="1:21">
      <c r="D16" s="181" t="s">
        <v>13</v>
      </c>
      <c r="E16" s="182" t="s">
        <v>527</v>
      </c>
      <c r="F16" s="183" t="s">
        <v>14</v>
      </c>
      <c r="G16" s="184" t="s">
        <v>528</v>
      </c>
      <c r="H16" s="189" t="s">
        <v>529</v>
      </c>
      <c r="I16" s="189" t="s">
        <v>9</v>
      </c>
      <c r="J16" s="190" t="s">
        <v>13</v>
      </c>
      <c r="K16" s="186" t="s">
        <v>530</v>
      </c>
      <c r="L16" s="187" t="s">
        <v>156</v>
      </c>
      <c r="N16" s="42" t="s">
        <v>158</v>
      </c>
      <c r="Q16" s="45" t="s">
        <v>193</v>
      </c>
      <c r="U16" s="46" t="s">
        <v>301</v>
      </c>
    </row>
    <row r="17" spans="4:22">
      <c r="D17" s="181" t="s">
        <v>13</v>
      </c>
      <c r="E17" s="182" t="s">
        <v>531</v>
      </c>
      <c r="F17" s="183" t="s">
        <v>14</v>
      </c>
      <c r="G17" s="184" t="s">
        <v>532</v>
      </c>
      <c r="H17" s="189" t="s">
        <v>533</v>
      </c>
      <c r="I17" s="189" t="s">
        <v>9</v>
      </c>
      <c r="J17" s="190" t="s">
        <v>13</v>
      </c>
      <c r="K17" s="186" t="s">
        <v>534</v>
      </c>
      <c r="L17" s="187" t="s">
        <v>156</v>
      </c>
      <c r="N17" s="42" t="s">
        <v>191</v>
      </c>
      <c r="Q17" s="45" t="s">
        <v>194</v>
      </c>
      <c r="U17" s="46" t="s">
        <v>303</v>
      </c>
    </row>
    <row r="18" spans="4:22">
      <c r="D18" s="188" t="s">
        <v>13</v>
      </c>
      <c r="E18" s="189" t="s">
        <v>302</v>
      </c>
      <c r="F18" s="183" t="s">
        <v>14</v>
      </c>
      <c r="G18" s="184" t="s">
        <v>430</v>
      </c>
      <c r="H18" s="189" t="s">
        <v>303</v>
      </c>
      <c r="I18" s="189" t="s">
        <v>9</v>
      </c>
      <c r="J18" s="190" t="s">
        <v>13</v>
      </c>
      <c r="K18" s="186" t="s">
        <v>334</v>
      </c>
      <c r="L18" s="187" t="s">
        <v>156</v>
      </c>
      <c r="N18" s="42" t="s">
        <v>192</v>
      </c>
      <c r="Q18" s="45" t="s">
        <v>195</v>
      </c>
      <c r="U18" s="46" t="s">
        <v>305</v>
      </c>
    </row>
    <row r="19" spans="4:22" ht="13.5" thickBot="1">
      <c r="D19" s="181" t="s">
        <v>13</v>
      </c>
      <c r="E19" s="182" t="s">
        <v>535</v>
      </c>
      <c r="F19" s="183" t="s">
        <v>14</v>
      </c>
      <c r="G19" s="184" t="s">
        <v>536</v>
      </c>
      <c r="H19" s="182" t="s">
        <v>537</v>
      </c>
      <c r="I19" s="182" t="s">
        <v>9</v>
      </c>
      <c r="J19" s="185" t="s">
        <v>13</v>
      </c>
      <c r="K19" s="186" t="s">
        <v>538</v>
      </c>
      <c r="L19" s="187" t="s">
        <v>156</v>
      </c>
      <c r="N19" s="42" t="s">
        <v>193</v>
      </c>
      <c r="Q19" s="45" t="s">
        <v>196</v>
      </c>
      <c r="U19" s="47" t="s">
        <v>301</v>
      </c>
    </row>
    <row r="20" spans="4:22">
      <c r="D20" s="181" t="s">
        <v>13</v>
      </c>
      <c r="E20" s="185" t="s">
        <v>301</v>
      </c>
      <c r="F20" s="183" t="s">
        <v>14</v>
      </c>
      <c r="G20" s="184" t="s">
        <v>431</v>
      </c>
      <c r="H20" s="185" t="s">
        <v>301</v>
      </c>
      <c r="I20" s="182" t="s">
        <v>9</v>
      </c>
      <c r="J20" s="185" t="s">
        <v>13</v>
      </c>
      <c r="K20" s="186" t="s">
        <v>332</v>
      </c>
      <c r="L20" s="187" t="s">
        <v>156</v>
      </c>
      <c r="N20" s="42" t="s">
        <v>194</v>
      </c>
      <c r="Q20" s="45" t="s">
        <v>197</v>
      </c>
      <c r="V20" s="48" t="s">
        <v>219</v>
      </c>
    </row>
    <row r="21" spans="4:22">
      <c r="D21" s="181" t="s">
        <v>13</v>
      </c>
      <c r="E21" s="182" t="s">
        <v>217</v>
      </c>
      <c r="F21" s="183" t="s">
        <v>14</v>
      </c>
      <c r="G21" s="184" t="s">
        <v>432</v>
      </c>
      <c r="H21" s="182" t="s">
        <v>258</v>
      </c>
      <c r="I21" s="182" t="s">
        <v>9</v>
      </c>
      <c r="J21" s="185" t="s">
        <v>13</v>
      </c>
      <c r="K21" s="186" t="s">
        <v>311</v>
      </c>
      <c r="L21" s="187" t="s">
        <v>156</v>
      </c>
      <c r="N21" s="42" t="s">
        <v>195</v>
      </c>
      <c r="Q21" s="45" t="s">
        <v>218</v>
      </c>
      <c r="V21" s="48" t="s">
        <v>221</v>
      </c>
    </row>
    <row r="22" spans="4:22">
      <c r="D22" s="181" t="s">
        <v>13</v>
      </c>
      <c r="E22" s="182" t="s">
        <v>217</v>
      </c>
      <c r="F22" s="183" t="s">
        <v>14</v>
      </c>
      <c r="G22" s="184" t="s">
        <v>433</v>
      </c>
      <c r="H22" s="182" t="s">
        <v>258</v>
      </c>
      <c r="I22" s="182" t="s">
        <v>23</v>
      </c>
      <c r="J22" s="185" t="s">
        <v>13</v>
      </c>
      <c r="K22" s="186" t="s">
        <v>434</v>
      </c>
      <c r="L22" s="187" t="s">
        <v>156</v>
      </c>
      <c r="N22" s="42" t="s">
        <v>196</v>
      </c>
      <c r="Q22" s="45" t="s">
        <v>198</v>
      </c>
    </row>
    <row r="23" spans="4:22">
      <c r="D23" s="181" t="s">
        <v>13</v>
      </c>
      <c r="E23" s="182" t="s">
        <v>217</v>
      </c>
      <c r="F23" s="183" t="s">
        <v>14</v>
      </c>
      <c r="G23" s="184" t="s">
        <v>435</v>
      </c>
      <c r="H23" s="185" t="s">
        <v>256</v>
      </c>
      <c r="I23" s="182" t="s">
        <v>9</v>
      </c>
      <c r="J23" s="182" t="s">
        <v>13</v>
      </c>
      <c r="K23" s="186" t="s">
        <v>488</v>
      </c>
      <c r="L23" s="187" t="s">
        <v>156</v>
      </c>
      <c r="N23" s="42" t="s">
        <v>197</v>
      </c>
      <c r="Q23" s="45" t="s">
        <v>199</v>
      </c>
    </row>
    <row r="24" spans="4:22">
      <c r="D24" s="181" t="s">
        <v>13</v>
      </c>
      <c r="E24" s="182" t="s">
        <v>484</v>
      </c>
      <c r="F24" s="183" t="s">
        <v>14</v>
      </c>
      <c r="G24" s="184" t="s">
        <v>485</v>
      </c>
      <c r="H24" s="185" t="s">
        <v>486</v>
      </c>
      <c r="I24" s="182" t="s">
        <v>9</v>
      </c>
      <c r="J24" s="182" t="s">
        <v>13</v>
      </c>
      <c r="K24" s="186" t="s">
        <v>487</v>
      </c>
      <c r="L24" s="187" t="s">
        <v>156</v>
      </c>
      <c r="N24" s="42" t="s">
        <v>198</v>
      </c>
      <c r="Q24" s="45" t="s">
        <v>200</v>
      </c>
    </row>
    <row r="25" spans="4:22">
      <c r="D25" s="181" t="s">
        <v>13</v>
      </c>
      <c r="E25" s="184" t="s">
        <v>216</v>
      </c>
      <c r="F25" s="183" t="s">
        <v>14</v>
      </c>
      <c r="G25" s="184" t="s">
        <v>436</v>
      </c>
      <c r="H25" s="185" t="s">
        <v>256</v>
      </c>
      <c r="I25" s="182" t="s">
        <v>23</v>
      </c>
      <c r="J25" s="182" t="s">
        <v>13</v>
      </c>
      <c r="K25" s="186" t="s">
        <v>318</v>
      </c>
      <c r="L25" s="187" t="s">
        <v>156</v>
      </c>
      <c r="N25" s="42" t="s">
        <v>199</v>
      </c>
      <c r="Q25" s="45" t="s">
        <v>201</v>
      </c>
    </row>
    <row r="26" spans="4:22">
      <c r="D26" s="181" t="s">
        <v>13</v>
      </c>
      <c r="E26" s="184" t="s">
        <v>216</v>
      </c>
      <c r="F26" s="183" t="s">
        <v>14</v>
      </c>
      <c r="G26" s="184" t="s">
        <v>437</v>
      </c>
      <c r="H26" s="184" t="s">
        <v>256</v>
      </c>
      <c r="I26" s="182" t="s">
        <v>9</v>
      </c>
      <c r="J26" s="182" t="s">
        <v>13</v>
      </c>
      <c r="K26" s="186" t="s">
        <v>316</v>
      </c>
      <c r="L26" s="187" t="s">
        <v>156</v>
      </c>
      <c r="N26" s="42" t="s">
        <v>196</v>
      </c>
      <c r="Q26" s="45" t="s">
        <v>202</v>
      </c>
    </row>
    <row r="27" spans="4:22">
      <c r="D27" s="181" t="s">
        <v>13</v>
      </c>
      <c r="E27" s="185" t="s">
        <v>419</v>
      </c>
      <c r="F27" s="183" t="s">
        <v>14</v>
      </c>
      <c r="G27" s="184" t="s">
        <v>456</v>
      </c>
      <c r="H27" s="185" t="s">
        <v>421</v>
      </c>
      <c r="I27" s="182" t="s">
        <v>9</v>
      </c>
      <c r="J27" s="185" t="s">
        <v>13</v>
      </c>
      <c r="K27" s="186" t="s">
        <v>422</v>
      </c>
      <c r="L27" s="187" t="s">
        <v>156</v>
      </c>
      <c r="N27" s="42"/>
      <c r="Q27" s="45"/>
    </row>
    <row r="28" spans="4:22">
      <c r="D28" s="181" t="s">
        <v>13</v>
      </c>
      <c r="E28" s="182" t="s">
        <v>489</v>
      </c>
      <c r="F28" s="183" t="s">
        <v>14</v>
      </c>
      <c r="G28" s="184" t="s">
        <v>490</v>
      </c>
      <c r="H28" s="182" t="s">
        <v>491</v>
      </c>
      <c r="I28" s="182" t="s">
        <v>9</v>
      </c>
      <c r="J28" s="185" t="s">
        <v>13</v>
      </c>
      <c r="K28" s="186" t="s">
        <v>492</v>
      </c>
      <c r="L28" s="187" t="s">
        <v>156</v>
      </c>
      <c r="N28" s="42" t="s">
        <v>201</v>
      </c>
      <c r="Q28" s="45" t="s">
        <v>205</v>
      </c>
    </row>
    <row r="29" spans="4:22">
      <c r="D29" s="181" t="s">
        <v>13</v>
      </c>
      <c r="E29" s="182" t="s">
        <v>300</v>
      </c>
      <c r="F29" s="183" t="s">
        <v>14</v>
      </c>
      <c r="G29" s="184" t="s">
        <v>438</v>
      </c>
      <c r="H29" s="182" t="s">
        <v>300</v>
      </c>
      <c r="I29" s="182" t="s">
        <v>9</v>
      </c>
      <c r="J29" s="185" t="s">
        <v>13</v>
      </c>
      <c r="K29" s="186" t="s">
        <v>328</v>
      </c>
      <c r="L29" s="187" t="s">
        <v>156</v>
      </c>
      <c r="N29" s="42" t="s">
        <v>201</v>
      </c>
      <c r="Q29" s="45" t="s">
        <v>206</v>
      </c>
    </row>
    <row r="30" spans="4:22">
      <c r="D30" s="181" t="s">
        <v>13</v>
      </c>
      <c r="E30" s="182" t="s">
        <v>300</v>
      </c>
      <c r="F30" s="183" t="s">
        <v>14</v>
      </c>
      <c r="G30" s="184" t="s">
        <v>539</v>
      </c>
      <c r="H30" s="182" t="s">
        <v>300</v>
      </c>
      <c r="I30" s="182" t="s">
        <v>23</v>
      </c>
      <c r="J30" s="185" t="s">
        <v>13</v>
      </c>
      <c r="K30" s="186" t="s">
        <v>540</v>
      </c>
      <c r="L30" s="187" t="s">
        <v>156</v>
      </c>
      <c r="N30" s="42" t="s">
        <v>201</v>
      </c>
      <c r="Q30" s="45" t="s">
        <v>207</v>
      </c>
    </row>
    <row r="31" spans="4:22">
      <c r="D31" s="181" t="s">
        <v>13</v>
      </c>
      <c r="E31" s="182" t="s">
        <v>541</v>
      </c>
      <c r="F31" s="183" t="s">
        <v>14</v>
      </c>
      <c r="G31" s="184" t="s">
        <v>542</v>
      </c>
      <c r="H31" s="182" t="s">
        <v>543</v>
      </c>
      <c r="I31" s="182" t="s">
        <v>9</v>
      </c>
      <c r="J31" s="185" t="s">
        <v>13</v>
      </c>
      <c r="K31" s="186" t="s">
        <v>544</v>
      </c>
      <c r="L31" s="187" t="s">
        <v>156</v>
      </c>
      <c r="N31" s="42" t="s">
        <v>201</v>
      </c>
      <c r="Q31" s="45" t="s">
        <v>208</v>
      </c>
    </row>
    <row r="32" spans="4:22">
      <c r="D32" s="181" t="s">
        <v>13</v>
      </c>
      <c r="E32" s="182" t="s">
        <v>503</v>
      </c>
      <c r="F32" s="183" t="s">
        <v>14</v>
      </c>
      <c r="G32" s="184" t="s">
        <v>504</v>
      </c>
      <c r="H32" s="182" t="s">
        <v>505</v>
      </c>
      <c r="I32" s="182" t="s">
        <v>9</v>
      </c>
      <c r="J32" s="185" t="s">
        <v>13</v>
      </c>
      <c r="K32" s="186" t="s">
        <v>507</v>
      </c>
      <c r="L32" s="187" t="s">
        <v>156</v>
      </c>
      <c r="N32" s="42" t="s">
        <v>201</v>
      </c>
      <c r="Q32" s="45" t="s">
        <v>209</v>
      </c>
    </row>
    <row r="33" spans="4:18">
      <c r="D33" s="181" t="s">
        <v>13</v>
      </c>
      <c r="E33" s="185" t="s">
        <v>213</v>
      </c>
      <c r="F33" s="183" t="s">
        <v>14</v>
      </c>
      <c r="G33" s="184" t="s">
        <v>441</v>
      </c>
      <c r="H33" s="185" t="s">
        <v>215</v>
      </c>
      <c r="I33" s="182" t="s">
        <v>259</v>
      </c>
      <c r="J33" s="185" t="s">
        <v>13</v>
      </c>
      <c r="K33" s="186" t="s">
        <v>411</v>
      </c>
      <c r="L33" s="187" t="s">
        <v>156</v>
      </c>
      <c r="N33" s="42" t="s">
        <v>184</v>
      </c>
      <c r="Q33" s="45" t="s">
        <v>210</v>
      </c>
    </row>
    <row r="34" spans="4:18">
      <c r="D34" s="181" t="s">
        <v>13</v>
      </c>
      <c r="E34" s="184" t="s">
        <v>213</v>
      </c>
      <c r="F34" s="183" t="s">
        <v>14</v>
      </c>
      <c r="G34" s="184" t="s">
        <v>442</v>
      </c>
      <c r="H34" s="185" t="s">
        <v>215</v>
      </c>
      <c r="I34" s="182" t="s">
        <v>20</v>
      </c>
      <c r="J34" s="182" t="s">
        <v>13</v>
      </c>
      <c r="K34" s="186" t="s">
        <v>326</v>
      </c>
      <c r="L34" s="187" t="s">
        <v>156</v>
      </c>
      <c r="N34" s="42" t="s">
        <v>185</v>
      </c>
      <c r="Q34" s="45" t="s">
        <v>295</v>
      </c>
    </row>
    <row r="35" spans="4:18">
      <c r="D35" s="181" t="s">
        <v>13</v>
      </c>
      <c r="E35" s="184" t="s">
        <v>213</v>
      </c>
      <c r="F35" s="183" t="s">
        <v>14</v>
      </c>
      <c r="G35" s="184" t="s">
        <v>443</v>
      </c>
      <c r="H35" s="185" t="s">
        <v>215</v>
      </c>
      <c r="I35" s="182" t="s">
        <v>21</v>
      </c>
      <c r="J35" s="182" t="s">
        <v>13</v>
      </c>
      <c r="K35" s="186" t="s">
        <v>324</v>
      </c>
      <c r="L35" s="187" t="s">
        <v>156</v>
      </c>
      <c r="N35" s="42" t="s">
        <v>186</v>
      </c>
      <c r="Q35" s="45" t="s">
        <v>211</v>
      </c>
    </row>
    <row r="36" spans="4:18">
      <c r="D36" s="181" t="s">
        <v>13</v>
      </c>
      <c r="E36" s="185" t="s">
        <v>416</v>
      </c>
      <c r="F36" s="183" t="s">
        <v>14</v>
      </c>
      <c r="G36" s="184" t="s">
        <v>444</v>
      </c>
      <c r="H36" s="185" t="s">
        <v>416</v>
      </c>
      <c r="I36" s="182" t="s">
        <v>9</v>
      </c>
      <c r="J36" s="185" t="s">
        <v>13</v>
      </c>
      <c r="K36" s="186" t="s">
        <v>418</v>
      </c>
      <c r="L36" s="187" t="s">
        <v>156</v>
      </c>
      <c r="N36" s="42" t="s">
        <v>187</v>
      </c>
      <c r="Q36" s="45" t="s">
        <v>159</v>
      </c>
    </row>
    <row r="37" spans="4:18">
      <c r="D37" s="181" t="s">
        <v>178</v>
      </c>
      <c r="E37" s="185" t="s">
        <v>181</v>
      </c>
      <c r="F37" s="183" t="s">
        <v>289</v>
      </c>
      <c r="G37" s="184" t="s">
        <v>445</v>
      </c>
      <c r="H37" s="185" t="s">
        <v>214</v>
      </c>
      <c r="I37" s="182" t="s">
        <v>9</v>
      </c>
      <c r="J37" s="185" t="s">
        <v>178</v>
      </c>
      <c r="K37" s="186" t="s">
        <v>335</v>
      </c>
      <c r="L37" s="187" t="s">
        <v>156</v>
      </c>
      <c r="N37" s="42" t="s">
        <v>188</v>
      </c>
      <c r="Q37" s="45" t="s">
        <v>212</v>
      </c>
    </row>
    <row r="38" spans="4:18">
      <c r="D38" s="181" t="s">
        <v>178</v>
      </c>
      <c r="E38" s="182" t="s">
        <v>297</v>
      </c>
      <c r="F38" s="183" t="s">
        <v>289</v>
      </c>
      <c r="G38" s="184" t="s">
        <v>478</v>
      </c>
      <c r="H38" s="185" t="s">
        <v>298</v>
      </c>
      <c r="I38" s="182" t="s">
        <v>9</v>
      </c>
      <c r="J38" s="185" t="s">
        <v>178</v>
      </c>
      <c r="K38" s="186" t="s">
        <v>479</v>
      </c>
      <c r="L38" s="187" t="s">
        <v>156</v>
      </c>
      <c r="N38" s="43" t="s">
        <v>194</v>
      </c>
      <c r="Q38" s="45" t="s">
        <v>11</v>
      </c>
    </row>
    <row r="39" spans="4:18">
      <c r="D39" s="181" t="s">
        <v>178</v>
      </c>
      <c r="E39" s="189" t="s">
        <v>302</v>
      </c>
      <c r="F39" s="183" t="s">
        <v>289</v>
      </c>
      <c r="G39" s="184" t="s">
        <v>430</v>
      </c>
      <c r="H39" s="185" t="s">
        <v>303</v>
      </c>
      <c r="I39" s="182" t="s">
        <v>9</v>
      </c>
      <c r="J39" s="185" t="s">
        <v>178</v>
      </c>
      <c r="K39" s="186" t="s">
        <v>446</v>
      </c>
      <c r="L39" s="187" t="s">
        <v>156</v>
      </c>
      <c r="N39" s="43" t="s">
        <v>195</v>
      </c>
      <c r="Q39" s="45" t="s">
        <v>223</v>
      </c>
    </row>
    <row r="40" spans="4:18">
      <c r="D40" s="181" t="s">
        <v>178</v>
      </c>
      <c r="E40" s="182" t="s">
        <v>480</v>
      </c>
      <c r="F40" s="183" t="s">
        <v>289</v>
      </c>
      <c r="G40" s="184" t="s">
        <v>481</v>
      </c>
      <c r="H40" s="185" t="s">
        <v>482</v>
      </c>
      <c r="I40" s="182" t="s">
        <v>9</v>
      </c>
      <c r="J40" s="185" t="s">
        <v>178</v>
      </c>
      <c r="K40" s="186" t="s">
        <v>483</v>
      </c>
      <c r="L40" s="187" t="s">
        <v>156</v>
      </c>
      <c r="N40" s="43" t="s">
        <v>196</v>
      </c>
      <c r="Q40" s="45" t="s">
        <v>227</v>
      </c>
    </row>
    <row r="41" spans="4:18">
      <c r="D41" s="181" t="s">
        <v>178</v>
      </c>
      <c r="E41" s="182" t="s">
        <v>301</v>
      </c>
      <c r="F41" s="183" t="s">
        <v>289</v>
      </c>
      <c r="G41" s="184" t="s">
        <v>447</v>
      </c>
      <c r="H41" s="182" t="s">
        <v>301</v>
      </c>
      <c r="I41" s="182" t="s">
        <v>9</v>
      </c>
      <c r="J41" s="185" t="s">
        <v>178</v>
      </c>
      <c r="K41" s="186" t="s">
        <v>350</v>
      </c>
      <c r="L41" s="187" t="s">
        <v>156</v>
      </c>
      <c r="N41" s="42" t="s">
        <v>197</v>
      </c>
      <c r="Q41" s="45" t="s">
        <v>228</v>
      </c>
    </row>
    <row r="42" spans="4:18">
      <c r="D42" s="181" t="s">
        <v>178</v>
      </c>
      <c r="E42" s="182" t="s">
        <v>216</v>
      </c>
      <c r="F42" s="183" t="s">
        <v>289</v>
      </c>
      <c r="G42" s="184" t="s">
        <v>436</v>
      </c>
      <c r="H42" s="182" t="s">
        <v>256</v>
      </c>
      <c r="I42" s="182" t="s">
        <v>20</v>
      </c>
      <c r="J42" s="185" t="s">
        <v>178</v>
      </c>
      <c r="K42" s="186" t="s">
        <v>348</v>
      </c>
      <c r="L42" s="187" t="s">
        <v>156</v>
      </c>
      <c r="N42" s="42"/>
      <c r="Q42" s="198"/>
    </row>
    <row r="43" spans="4:18" ht="13.5" thickBot="1">
      <c r="D43" s="181" t="s">
        <v>178</v>
      </c>
      <c r="E43" s="182" t="s">
        <v>216</v>
      </c>
      <c r="F43" s="189" t="s">
        <v>289</v>
      </c>
      <c r="G43" s="184" t="s">
        <v>448</v>
      </c>
      <c r="H43" s="182" t="s">
        <v>256</v>
      </c>
      <c r="I43" s="182" t="s">
        <v>9</v>
      </c>
      <c r="J43" s="185" t="s">
        <v>178</v>
      </c>
      <c r="K43" s="186" t="s">
        <v>342</v>
      </c>
      <c r="L43" s="187" t="s">
        <v>156</v>
      </c>
      <c r="N43" s="42" t="s">
        <v>188</v>
      </c>
      <c r="Q43" s="47" t="s">
        <v>287</v>
      </c>
    </row>
    <row r="44" spans="4:18">
      <c r="D44" s="181" t="s">
        <v>178</v>
      </c>
      <c r="E44" s="182" t="s">
        <v>216</v>
      </c>
      <c r="F44" s="183" t="s">
        <v>289</v>
      </c>
      <c r="G44" s="184" t="s">
        <v>449</v>
      </c>
      <c r="H44" s="182" t="s">
        <v>256</v>
      </c>
      <c r="I44" s="182" t="s">
        <v>23</v>
      </c>
      <c r="J44" s="185" t="s">
        <v>178</v>
      </c>
      <c r="K44" s="186" t="s">
        <v>344</v>
      </c>
      <c r="L44" s="187" t="s">
        <v>156</v>
      </c>
      <c r="N44" s="42" t="s">
        <v>188</v>
      </c>
      <c r="R44" s="48" t="s">
        <v>222</v>
      </c>
    </row>
    <row r="45" spans="4:18">
      <c r="D45" s="181" t="s">
        <v>178</v>
      </c>
      <c r="E45" s="182" t="s">
        <v>216</v>
      </c>
      <c r="F45" s="183" t="s">
        <v>289</v>
      </c>
      <c r="G45" s="184" t="s">
        <v>437</v>
      </c>
      <c r="H45" s="182" t="s">
        <v>256</v>
      </c>
      <c r="I45" s="182" t="s">
        <v>21</v>
      </c>
      <c r="J45" s="185" t="s">
        <v>178</v>
      </c>
      <c r="K45" s="186" t="s">
        <v>346</v>
      </c>
      <c r="L45" s="187" t="s">
        <v>156</v>
      </c>
      <c r="N45" s="42" t="s">
        <v>200</v>
      </c>
      <c r="Q45" s="45" t="s">
        <v>203</v>
      </c>
    </row>
    <row r="46" spans="4:18">
      <c r="D46" s="181" t="s">
        <v>178</v>
      </c>
      <c r="E46" s="182" t="s">
        <v>216</v>
      </c>
      <c r="F46" s="183" t="s">
        <v>289</v>
      </c>
      <c r="G46" s="184" t="s">
        <v>524</v>
      </c>
      <c r="H46" s="182" t="s">
        <v>256</v>
      </c>
      <c r="I46" s="182" t="s">
        <v>259</v>
      </c>
      <c r="J46" s="185" t="s">
        <v>178</v>
      </c>
      <c r="K46" s="186" t="s">
        <v>525</v>
      </c>
      <c r="L46" s="187" t="s">
        <v>156</v>
      </c>
      <c r="N46" s="42" t="s">
        <v>201</v>
      </c>
      <c r="Q46" s="45" t="s">
        <v>204</v>
      </c>
    </row>
    <row r="47" spans="4:18">
      <c r="D47" s="181" t="s">
        <v>178</v>
      </c>
      <c r="E47" s="182" t="s">
        <v>300</v>
      </c>
      <c r="F47" s="183" t="s">
        <v>289</v>
      </c>
      <c r="G47" s="184" t="s">
        <v>450</v>
      </c>
      <c r="H47" s="182" t="s">
        <v>300</v>
      </c>
      <c r="I47" s="182" t="s">
        <v>9</v>
      </c>
      <c r="J47" s="185" t="s">
        <v>178</v>
      </c>
      <c r="K47" s="186" t="s">
        <v>426</v>
      </c>
      <c r="L47" s="187" t="s">
        <v>156</v>
      </c>
      <c r="N47" s="42" t="s">
        <v>227</v>
      </c>
    </row>
    <row r="48" spans="4:18">
      <c r="D48" s="181" t="s">
        <v>178</v>
      </c>
      <c r="E48" s="182" t="s">
        <v>545</v>
      </c>
      <c r="F48" s="183" t="s">
        <v>289</v>
      </c>
      <c r="G48" s="184" t="s">
        <v>546</v>
      </c>
      <c r="H48" s="182" t="s">
        <v>547</v>
      </c>
      <c r="I48" s="182" t="s">
        <v>9</v>
      </c>
      <c r="J48" s="185" t="s">
        <v>178</v>
      </c>
      <c r="K48" s="186" t="s">
        <v>548</v>
      </c>
      <c r="L48" s="187" t="s">
        <v>156</v>
      </c>
      <c r="N48" s="42" t="s">
        <v>228</v>
      </c>
    </row>
    <row r="49" spans="4:14">
      <c r="D49" s="181" t="s">
        <v>178</v>
      </c>
      <c r="E49" s="182" t="s">
        <v>503</v>
      </c>
      <c r="F49" s="183" t="s">
        <v>289</v>
      </c>
      <c r="G49" s="184" t="s">
        <v>508</v>
      </c>
      <c r="H49" s="182" t="s">
        <v>505</v>
      </c>
      <c r="I49" s="182" t="s">
        <v>9</v>
      </c>
      <c r="J49" s="185" t="s">
        <v>178</v>
      </c>
      <c r="K49" s="186" t="s">
        <v>506</v>
      </c>
      <c r="L49" s="187" t="s">
        <v>156</v>
      </c>
      <c r="N49" s="42" t="s">
        <v>188</v>
      </c>
    </row>
    <row r="50" spans="4:14">
      <c r="D50" s="181" t="s">
        <v>178</v>
      </c>
      <c r="E50" s="182" t="s">
        <v>503</v>
      </c>
      <c r="F50" s="183" t="s">
        <v>289</v>
      </c>
      <c r="G50" s="184" t="s">
        <v>509</v>
      </c>
      <c r="H50" s="182" t="s">
        <v>505</v>
      </c>
      <c r="I50" s="182" t="s">
        <v>9</v>
      </c>
      <c r="J50" s="185" t="s">
        <v>178</v>
      </c>
      <c r="K50" s="186" t="s">
        <v>510</v>
      </c>
      <c r="L50" s="187" t="s">
        <v>156</v>
      </c>
      <c r="N50" s="42" t="s">
        <v>188</v>
      </c>
    </row>
    <row r="51" spans="4:14">
      <c r="D51" s="181" t="s">
        <v>178</v>
      </c>
      <c r="E51" s="182" t="s">
        <v>503</v>
      </c>
      <c r="F51" s="183" t="s">
        <v>289</v>
      </c>
      <c r="G51" s="184" t="s">
        <v>511</v>
      </c>
      <c r="H51" s="182" t="s">
        <v>505</v>
      </c>
      <c r="I51" s="182" t="s">
        <v>9</v>
      </c>
      <c r="J51" s="185" t="s">
        <v>178</v>
      </c>
      <c r="K51" s="186" t="s">
        <v>512</v>
      </c>
      <c r="L51" s="187" t="s">
        <v>156</v>
      </c>
      <c r="N51" s="42" t="s">
        <v>202</v>
      </c>
    </row>
    <row r="52" spans="4:14">
      <c r="D52" s="181" t="s">
        <v>178</v>
      </c>
      <c r="E52" s="182" t="s">
        <v>503</v>
      </c>
      <c r="F52" s="183" t="s">
        <v>289</v>
      </c>
      <c r="G52" s="184" t="s">
        <v>513</v>
      </c>
      <c r="H52" s="182" t="s">
        <v>505</v>
      </c>
      <c r="I52" s="182" t="s">
        <v>9</v>
      </c>
      <c r="J52" s="185" t="s">
        <v>178</v>
      </c>
      <c r="K52" s="186" t="s">
        <v>514</v>
      </c>
      <c r="L52" s="187" t="s">
        <v>156</v>
      </c>
      <c r="N52" s="42" t="s">
        <v>203</v>
      </c>
    </row>
    <row r="53" spans="4:14">
      <c r="D53" s="181" t="s">
        <v>178</v>
      </c>
      <c r="E53" s="182" t="s">
        <v>503</v>
      </c>
      <c r="F53" s="183" t="s">
        <v>289</v>
      </c>
      <c r="G53" s="184" t="s">
        <v>515</v>
      </c>
      <c r="H53" s="182" t="s">
        <v>505</v>
      </c>
      <c r="I53" s="182" t="s">
        <v>9</v>
      </c>
      <c r="J53" s="185" t="s">
        <v>178</v>
      </c>
      <c r="K53" s="186" t="s">
        <v>516</v>
      </c>
      <c r="L53" s="187" t="s">
        <v>156</v>
      </c>
      <c r="N53" s="42" t="s">
        <v>204</v>
      </c>
    </row>
    <row r="54" spans="4:14">
      <c r="D54" s="181" t="s">
        <v>178</v>
      </c>
      <c r="E54" s="185" t="s">
        <v>213</v>
      </c>
      <c r="F54" s="183" t="s">
        <v>289</v>
      </c>
      <c r="G54" s="184" t="s">
        <v>451</v>
      </c>
      <c r="H54" s="185" t="s">
        <v>215</v>
      </c>
      <c r="I54" s="182" t="s">
        <v>20</v>
      </c>
      <c r="J54" s="185" t="s">
        <v>178</v>
      </c>
      <c r="K54" s="186" t="s">
        <v>424</v>
      </c>
      <c r="L54" s="187" t="s">
        <v>156</v>
      </c>
      <c r="N54" s="43" t="s">
        <v>205</v>
      </c>
    </row>
    <row r="55" spans="4:14">
      <c r="D55" s="181" t="s">
        <v>178</v>
      </c>
      <c r="E55" s="185" t="s">
        <v>213</v>
      </c>
      <c r="F55" s="183" t="s">
        <v>289</v>
      </c>
      <c r="G55" s="184" t="s">
        <v>452</v>
      </c>
      <c r="H55" s="190" t="s">
        <v>215</v>
      </c>
      <c r="I55" s="182" t="s">
        <v>21</v>
      </c>
      <c r="J55" s="185" t="s">
        <v>178</v>
      </c>
      <c r="K55" s="186" t="s">
        <v>340</v>
      </c>
      <c r="L55" s="187" t="s">
        <v>156</v>
      </c>
      <c r="N55" s="42" t="s">
        <v>206</v>
      </c>
    </row>
    <row r="56" spans="4:14">
      <c r="D56" s="181" t="s">
        <v>178</v>
      </c>
      <c r="E56" s="184" t="s">
        <v>213</v>
      </c>
      <c r="F56" s="183" t="s">
        <v>14</v>
      </c>
      <c r="G56" s="184" t="s">
        <v>439</v>
      </c>
      <c r="H56" s="185" t="s">
        <v>215</v>
      </c>
      <c r="I56" s="182" t="s">
        <v>23</v>
      </c>
      <c r="J56" s="182" t="s">
        <v>13</v>
      </c>
      <c r="K56" s="186" t="s">
        <v>322</v>
      </c>
      <c r="L56" s="187" t="s">
        <v>156</v>
      </c>
      <c r="N56" s="42" t="s">
        <v>207</v>
      </c>
    </row>
    <row r="57" spans="4:14">
      <c r="D57" s="181" t="s">
        <v>178</v>
      </c>
      <c r="E57" s="184" t="s">
        <v>213</v>
      </c>
      <c r="F57" s="183" t="s">
        <v>14</v>
      </c>
      <c r="G57" s="184" t="s">
        <v>440</v>
      </c>
      <c r="H57" s="185" t="s">
        <v>215</v>
      </c>
      <c r="I57" s="182" t="s">
        <v>9</v>
      </c>
      <c r="J57" s="182" t="s">
        <v>13</v>
      </c>
      <c r="K57" s="186" t="s">
        <v>320</v>
      </c>
      <c r="L57" s="187" t="s">
        <v>156</v>
      </c>
      <c r="N57" s="43" t="s">
        <v>208</v>
      </c>
    </row>
    <row r="58" spans="4:14">
      <c r="D58" s="188" t="s">
        <v>283</v>
      </c>
      <c r="E58" s="189" t="s">
        <v>297</v>
      </c>
      <c r="F58" s="183" t="s">
        <v>284</v>
      </c>
      <c r="G58" s="184" t="s">
        <v>453</v>
      </c>
      <c r="H58" s="189" t="s">
        <v>298</v>
      </c>
      <c r="I58" s="189" t="s">
        <v>9</v>
      </c>
      <c r="J58" s="190" t="s">
        <v>283</v>
      </c>
      <c r="K58" s="186" t="s">
        <v>356</v>
      </c>
      <c r="L58" s="187" t="s">
        <v>156</v>
      </c>
      <c r="N58" s="43" t="s">
        <v>209</v>
      </c>
    </row>
    <row r="59" spans="4:14">
      <c r="D59" s="188" t="s">
        <v>283</v>
      </c>
      <c r="E59" s="182" t="s">
        <v>454</v>
      </c>
      <c r="F59" s="183" t="s">
        <v>284</v>
      </c>
      <c r="G59" s="184" t="s">
        <v>455</v>
      </c>
      <c r="H59" s="182" t="s">
        <v>305</v>
      </c>
      <c r="I59" s="182" t="s">
        <v>9</v>
      </c>
      <c r="J59" s="190" t="s">
        <v>283</v>
      </c>
      <c r="K59" s="186" t="s">
        <v>358</v>
      </c>
      <c r="L59" s="187" t="s">
        <v>156</v>
      </c>
      <c r="N59" s="43" t="s">
        <v>210</v>
      </c>
    </row>
    <row r="60" spans="4:14">
      <c r="D60" s="181" t="s">
        <v>83</v>
      </c>
      <c r="E60" s="182" t="s">
        <v>285</v>
      </c>
      <c r="F60" s="183" t="s">
        <v>282</v>
      </c>
      <c r="G60" s="184" t="s">
        <v>526</v>
      </c>
      <c r="H60" s="182" t="s">
        <v>288</v>
      </c>
      <c r="I60" s="182" t="s">
        <v>266</v>
      </c>
      <c r="J60" s="190" t="s">
        <v>83</v>
      </c>
      <c r="K60" s="186" t="s">
        <v>463</v>
      </c>
      <c r="L60" s="187" t="s">
        <v>156</v>
      </c>
      <c r="N60" s="42" t="s">
        <v>211</v>
      </c>
    </row>
    <row r="61" spans="4:14">
      <c r="D61" s="181" t="s">
        <v>83</v>
      </c>
      <c r="E61" s="182" t="s">
        <v>285</v>
      </c>
      <c r="F61" s="183" t="s">
        <v>282</v>
      </c>
      <c r="G61" s="184" t="s">
        <v>159</v>
      </c>
      <c r="H61" s="182" t="s">
        <v>288</v>
      </c>
      <c r="I61" s="182" t="s">
        <v>265</v>
      </c>
      <c r="J61" s="190" t="s">
        <v>83</v>
      </c>
      <c r="K61" s="186" t="s">
        <v>464</v>
      </c>
      <c r="L61" s="187" t="s">
        <v>156</v>
      </c>
      <c r="N61" s="43" t="s">
        <v>159</v>
      </c>
    </row>
    <row r="62" spans="4:14">
      <c r="D62" s="181" t="s">
        <v>83</v>
      </c>
      <c r="E62" s="182" t="s">
        <v>285</v>
      </c>
      <c r="F62" s="183" t="s">
        <v>282</v>
      </c>
      <c r="G62" s="184" t="s">
        <v>211</v>
      </c>
      <c r="H62" s="182" t="s">
        <v>288</v>
      </c>
      <c r="I62" s="182" t="s">
        <v>264</v>
      </c>
      <c r="J62" s="190" t="s">
        <v>83</v>
      </c>
      <c r="K62" s="186" t="s">
        <v>465</v>
      </c>
      <c r="L62" s="187" t="s">
        <v>156</v>
      </c>
      <c r="N62" s="43" t="s">
        <v>295</v>
      </c>
    </row>
    <row r="63" spans="4:14">
      <c r="D63" s="181" t="s">
        <v>83</v>
      </c>
      <c r="E63" s="182" t="s">
        <v>285</v>
      </c>
      <c r="F63" s="183" t="s">
        <v>282</v>
      </c>
      <c r="G63" s="184" t="s">
        <v>203</v>
      </c>
      <c r="H63" s="182" t="s">
        <v>288</v>
      </c>
      <c r="I63" s="182" t="s">
        <v>23</v>
      </c>
      <c r="J63" s="185" t="s">
        <v>83</v>
      </c>
      <c r="K63" s="186" t="s">
        <v>466</v>
      </c>
      <c r="L63" s="187" t="s">
        <v>156</v>
      </c>
      <c r="N63" s="43" t="s">
        <v>212</v>
      </c>
    </row>
    <row r="64" spans="4:14">
      <c r="D64" s="181" t="s">
        <v>83</v>
      </c>
      <c r="E64" s="182" t="s">
        <v>285</v>
      </c>
      <c r="F64" s="183" t="s">
        <v>282</v>
      </c>
      <c r="G64" s="184" t="s">
        <v>204</v>
      </c>
      <c r="H64" s="182" t="s">
        <v>288</v>
      </c>
      <c r="I64" s="182" t="s">
        <v>21</v>
      </c>
      <c r="J64" s="185" t="s">
        <v>83</v>
      </c>
      <c r="K64" s="186" t="s">
        <v>467</v>
      </c>
      <c r="L64" s="187" t="s">
        <v>156</v>
      </c>
      <c r="N64" s="42" t="s">
        <v>287</v>
      </c>
    </row>
    <row r="65" spans="1:14">
      <c r="D65" s="181" t="s">
        <v>83</v>
      </c>
      <c r="E65" s="182" t="s">
        <v>285</v>
      </c>
      <c r="F65" s="183" t="s">
        <v>282</v>
      </c>
      <c r="G65" s="184" t="s">
        <v>202</v>
      </c>
      <c r="H65" s="182" t="s">
        <v>288</v>
      </c>
      <c r="I65" s="182" t="s">
        <v>9</v>
      </c>
      <c r="J65" s="185" t="s">
        <v>83</v>
      </c>
      <c r="K65" s="186" t="s">
        <v>468</v>
      </c>
      <c r="L65" s="187" t="s">
        <v>156</v>
      </c>
      <c r="N65" s="42" t="s">
        <v>202</v>
      </c>
    </row>
    <row r="66" spans="1:14">
      <c r="D66" s="181" t="s">
        <v>83</v>
      </c>
      <c r="E66" s="182" t="s">
        <v>285</v>
      </c>
      <c r="F66" s="183" t="s">
        <v>282</v>
      </c>
      <c r="G66" s="184" t="s">
        <v>208</v>
      </c>
      <c r="H66" s="182" t="s">
        <v>288</v>
      </c>
      <c r="I66" s="182" t="s">
        <v>261</v>
      </c>
      <c r="J66" s="185" t="s">
        <v>83</v>
      </c>
      <c r="K66" s="186" t="s">
        <v>469</v>
      </c>
      <c r="L66" s="187" t="s">
        <v>156</v>
      </c>
      <c r="N66" s="42" t="s">
        <v>203</v>
      </c>
    </row>
    <row r="67" spans="1:14">
      <c r="D67" s="181" t="s">
        <v>83</v>
      </c>
      <c r="E67" s="182" t="s">
        <v>285</v>
      </c>
      <c r="F67" s="183" t="s">
        <v>282</v>
      </c>
      <c r="G67" s="184" t="s">
        <v>209</v>
      </c>
      <c r="H67" s="182" t="s">
        <v>288</v>
      </c>
      <c r="I67" s="182" t="s">
        <v>262</v>
      </c>
      <c r="J67" s="185" t="s">
        <v>83</v>
      </c>
      <c r="K67" s="191" t="s">
        <v>470</v>
      </c>
      <c r="L67" s="187" t="s">
        <v>156</v>
      </c>
      <c r="N67" s="43" t="s">
        <v>204</v>
      </c>
    </row>
    <row r="68" spans="1:14">
      <c r="D68" s="181" t="s">
        <v>83</v>
      </c>
      <c r="E68" s="182" t="s">
        <v>285</v>
      </c>
      <c r="F68" s="184" t="s">
        <v>282</v>
      </c>
      <c r="G68" s="184" t="s">
        <v>210</v>
      </c>
      <c r="H68" s="182" t="s">
        <v>288</v>
      </c>
      <c r="I68" s="182" t="s">
        <v>263</v>
      </c>
      <c r="J68" s="185" t="s">
        <v>83</v>
      </c>
      <c r="K68" s="191" t="s">
        <v>471</v>
      </c>
      <c r="L68" s="187" t="s">
        <v>156</v>
      </c>
      <c r="N68" s="42" t="s">
        <v>205</v>
      </c>
    </row>
    <row r="69" spans="1:14">
      <c r="D69" s="181" t="s">
        <v>83</v>
      </c>
      <c r="E69" s="190" t="s">
        <v>285</v>
      </c>
      <c r="F69" s="183" t="s">
        <v>282</v>
      </c>
      <c r="G69" s="184" t="s">
        <v>207</v>
      </c>
      <c r="H69" s="190" t="s">
        <v>288</v>
      </c>
      <c r="I69" s="189" t="s">
        <v>260</v>
      </c>
      <c r="J69" s="190" t="s">
        <v>83</v>
      </c>
      <c r="K69" s="186" t="s">
        <v>472</v>
      </c>
      <c r="L69" s="187" t="s">
        <v>156</v>
      </c>
      <c r="N69" s="42" t="s">
        <v>206</v>
      </c>
    </row>
    <row r="70" spans="1:14">
      <c r="D70" s="181" t="s">
        <v>83</v>
      </c>
      <c r="E70" s="190" t="s">
        <v>285</v>
      </c>
      <c r="F70" s="183" t="s">
        <v>282</v>
      </c>
      <c r="G70" s="184" t="s">
        <v>206</v>
      </c>
      <c r="H70" s="185" t="s">
        <v>288</v>
      </c>
      <c r="I70" s="182" t="s">
        <v>259</v>
      </c>
      <c r="J70" s="190" t="s">
        <v>83</v>
      </c>
      <c r="K70" s="186" t="s">
        <v>473</v>
      </c>
      <c r="L70" s="187" t="s">
        <v>156</v>
      </c>
      <c r="N70" s="43" t="s">
        <v>207</v>
      </c>
    </row>
    <row r="71" spans="1:14">
      <c r="D71" s="181" t="s">
        <v>83</v>
      </c>
      <c r="E71" s="190" t="s">
        <v>285</v>
      </c>
      <c r="F71" s="183" t="s">
        <v>282</v>
      </c>
      <c r="G71" s="184" t="s">
        <v>205</v>
      </c>
      <c r="H71" s="185" t="s">
        <v>288</v>
      </c>
      <c r="I71" s="182" t="s">
        <v>20</v>
      </c>
      <c r="J71" s="190" t="s">
        <v>83</v>
      </c>
      <c r="K71" s="186" t="s">
        <v>474</v>
      </c>
      <c r="L71" s="187" t="s">
        <v>156</v>
      </c>
      <c r="N71" s="43" t="s">
        <v>208</v>
      </c>
    </row>
    <row r="72" spans="1:14">
      <c r="D72" s="188" t="s">
        <v>83</v>
      </c>
      <c r="E72" s="189" t="s">
        <v>285</v>
      </c>
      <c r="F72" s="183" t="s">
        <v>282</v>
      </c>
      <c r="G72" s="184" t="s">
        <v>212</v>
      </c>
      <c r="H72" s="182" t="s">
        <v>288</v>
      </c>
      <c r="I72" s="182" t="s">
        <v>267</v>
      </c>
      <c r="J72" s="190" t="s">
        <v>83</v>
      </c>
      <c r="K72" s="186" t="s">
        <v>475</v>
      </c>
      <c r="L72" s="187" t="s">
        <v>156</v>
      </c>
      <c r="N72" s="43" t="s">
        <v>209</v>
      </c>
    </row>
    <row r="73" spans="1:14">
      <c r="D73" s="181" t="s">
        <v>83</v>
      </c>
      <c r="E73" s="189" t="s">
        <v>285</v>
      </c>
      <c r="F73" s="183" t="s">
        <v>282</v>
      </c>
      <c r="G73" s="184" t="s">
        <v>287</v>
      </c>
      <c r="H73" s="182" t="s">
        <v>288</v>
      </c>
      <c r="I73" s="182" t="s">
        <v>286</v>
      </c>
      <c r="J73" s="190" t="s">
        <v>83</v>
      </c>
      <c r="K73" s="186" t="s">
        <v>476</v>
      </c>
      <c r="L73" s="187" t="s">
        <v>156</v>
      </c>
      <c r="N73" s="42" t="s">
        <v>210</v>
      </c>
    </row>
    <row r="74" spans="1:14">
      <c r="D74" s="188" t="s">
        <v>179</v>
      </c>
      <c r="E74" s="189" t="s">
        <v>220</v>
      </c>
      <c r="F74" s="183" t="s">
        <v>180</v>
      </c>
      <c r="G74" s="184" t="s">
        <v>457</v>
      </c>
      <c r="H74" s="185" t="s">
        <v>258</v>
      </c>
      <c r="I74" s="182" t="s">
        <v>286</v>
      </c>
      <c r="J74" s="190" t="s">
        <v>179</v>
      </c>
      <c r="K74" s="186" t="s">
        <v>458</v>
      </c>
      <c r="L74" s="187" t="s">
        <v>156</v>
      </c>
      <c r="N74" s="43" t="s">
        <v>211</v>
      </c>
    </row>
    <row r="75" spans="1:14">
      <c r="D75" s="188" t="s">
        <v>179</v>
      </c>
      <c r="E75" s="189" t="s">
        <v>220</v>
      </c>
      <c r="F75" s="183" t="s">
        <v>180</v>
      </c>
      <c r="G75" s="184" t="s">
        <v>459</v>
      </c>
      <c r="H75" s="182" t="s">
        <v>258</v>
      </c>
      <c r="I75" s="182" t="s">
        <v>266</v>
      </c>
      <c r="J75" s="190" t="s">
        <v>179</v>
      </c>
      <c r="K75" s="186" t="s">
        <v>408</v>
      </c>
      <c r="L75" s="187" t="s">
        <v>156</v>
      </c>
      <c r="N75" s="43" t="s">
        <v>159</v>
      </c>
    </row>
    <row r="76" spans="1:14">
      <c r="D76" s="188" t="s">
        <v>179</v>
      </c>
      <c r="E76" s="189" t="s">
        <v>220</v>
      </c>
      <c r="F76" s="183" t="s">
        <v>180</v>
      </c>
      <c r="G76" s="184" t="s">
        <v>419</v>
      </c>
      <c r="H76" s="182" t="s">
        <v>258</v>
      </c>
      <c r="I76" s="182" t="s">
        <v>460</v>
      </c>
      <c r="J76" s="190" t="s">
        <v>179</v>
      </c>
      <c r="K76" s="186" t="s">
        <v>461</v>
      </c>
      <c r="L76" s="187" t="s">
        <v>156</v>
      </c>
      <c r="N76" s="43" t="s">
        <v>295</v>
      </c>
    </row>
    <row r="77" spans="1:14">
      <c r="D77" s="188" t="s">
        <v>179</v>
      </c>
      <c r="E77" s="190" t="s">
        <v>220</v>
      </c>
      <c r="F77" s="183" t="s">
        <v>180</v>
      </c>
      <c r="G77" s="184" t="s">
        <v>477</v>
      </c>
      <c r="H77" s="185" t="s">
        <v>258</v>
      </c>
      <c r="I77" s="182" t="s">
        <v>264</v>
      </c>
      <c r="J77" s="190" t="s">
        <v>179</v>
      </c>
      <c r="K77" s="186" t="s">
        <v>404</v>
      </c>
      <c r="L77" s="187" t="s">
        <v>156</v>
      </c>
      <c r="N77" s="43" t="s">
        <v>212</v>
      </c>
    </row>
    <row r="78" spans="1:14">
      <c r="A78" s="53"/>
      <c r="D78" s="188" t="s">
        <v>179</v>
      </c>
      <c r="E78" s="189" t="s">
        <v>220</v>
      </c>
      <c r="F78" s="183" t="s">
        <v>180</v>
      </c>
      <c r="G78" s="184" t="s">
        <v>203</v>
      </c>
      <c r="H78" s="182" t="s">
        <v>258</v>
      </c>
      <c r="I78" s="182" t="s">
        <v>23</v>
      </c>
      <c r="J78" s="190" t="s">
        <v>179</v>
      </c>
      <c r="K78" s="186" t="s">
        <v>390</v>
      </c>
      <c r="L78" s="187" t="s">
        <v>156</v>
      </c>
      <c r="N78" s="43" t="s">
        <v>11</v>
      </c>
    </row>
    <row r="79" spans="1:14">
      <c r="D79" s="188" t="s">
        <v>179</v>
      </c>
      <c r="E79" s="189" t="s">
        <v>220</v>
      </c>
      <c r="F79" s="183" t="s">
        <v>180</v>
      </c>
      <c r="G79" s="184" t="s">
        <v>204</v>
      </c>
      <c r="H79" s="182" t="s">
        <v>258</v>
      </c>
      <c r="I79" s="182" t="s">
        <v>21</v>
      </c>
      <c r="J79" s="190" t="s">
        <v>179</v>
      </c>
      <c r="K79" s="186" t="s">
        <v>392</v>
      </c>
      <c r="L79" s="187" t="s">
        <v>156</v>
      </c>
      <c r="N79" s="43" t="s">
        <v>223</v>
      </c>
    </row>
    <row r="80" spans="1:14">
      <c r="D80" s="188" t="s">
        <v>179</v>
      </c>
      <c r="E80" s="189" t="s">
        <v>220</v>
      </c>
      <c r="F80" s="183" t="s">
        <v>180</v>
      </c>
      <c r="G80" s="184" t="s">
        <v>202</v>
      </c>
      <c r="H80" s="182" t="s">
        <v>258</v>
      </c>
      <c r="I80" s="182" t="s">
        <v>9</v>
      </c>
      <c r="J80" s="190" t="s">
        <v>179</v>
      </c>
      <c r="K80" s="186" t="s">
        <v>388</v>
      </c>
      <c r="L80" s="187" t="s">
        <v>156</v>
      </c>
      <c r="N80" s="43"/>
    </row>
    <row r="81" spans="4:14">
      <c r="D81" s="181" t="s">
        <v>179</v>
      </c>
      <c r="E81" s="182" t="s">
        <v>220</v>
      </c>
      <c r="F81" s="183" t="s">
        <v>180</v>
      </c>
      <c r="G81" s="184" t="s">
        <v>208</v>
      </c>
      <c r="H81" s="182" t="s">
        <v>258</v>
      </c>
      <c r="I81" s="182" t="s">
        <v>261</v>
      </c>
      <c r="J81" s="185" t="s">
        <v>179</v>
      </c>
      <c r="K81" s="186" t="s">
        <v>398</v>
      </c>
      <c r="L81" s="187" t="s">
        <v>156</v>
      </c>
      <c r="N81" s="43"/>
    </row>
    <row r="82" spans="4:14">
      <c r="D82" s="181" t="s">
        <v>179</v>
      </c>
      <c r="E82" s="182" t="s">
        <v>220</v>
      </c>
      <c r="F82" s="183" t="s">
        <v>180</v>
      </c>
      <c r="G82" s="184" t="s">
        <v>209</v>
      </c>
      <c r="H82" s="182" t="s">
        <v>258</v>
      </c>
      <c r="I82" s="182" t="s">
        <v>262</v>
      </c>
      <c r="J82" s="185" t="s">
        <v>179</v>
      </c>
      <c r="K82" s="191" t="s">
        <v>400</v>
      </c>
      <c r="L82" s="187" t="s">
        <v>156</v>
      </c>
      <c r="N82" s="43"/>
    </row>
    <row r="83" spans="4:14">
      <c r="D83" s="181" t="s">
        <v>179</v>
      </c>
      <c r="E83" s="185" t="s">
        <v>220</v>
      </c>
      <c r="F83" s="184" t="s">
        <v>180</v>
      </c>
      <c r="G83" s="184" t="s">
        <v>210</v>
      </c>
      <c r="H83" s="185" t="s">
        <v>258</v>
      </c>
      <c r="I83" s="182" t="s">
        <v>263</v>
      </c>
      <c r="J83" s="185" t="s">
        <v>179</v>
      </c>
      <c r="K83" s="191" t="s">
        <v>402</v>
      </c>
      <c r="L83" s="187" t="s">
        <v>156</v>
      </c>
      <c r="N83" s="43"/>
    </row>
    <row r="84" spans="4:14">
      <c r="D84" s="181" t="s">
        <v>179</v>
      </c>
      <c r="E84" s="182" t="s">
        <v>220</v>
      </c>
      <c r="F84" s="184" t="s">
        <v>180</v>
      </c>
      <c r="G84" s="184" t="s">
        <v>462</v>
      </c>
      <c r="H84" s="182" t="s">
        <v>258</v>
      </c>
      <c r="I84" s="189" t="s">
        <v>265</v>
      </c>
      <c r="J84" s="190" t="s">
        <v>179</v>
      </c>
      <c r="K84" s="186" t="s">
        <v>406</v>
      </c>
      <c r="L84" s="187" t="s">
        <v>156</v>
      </c>
      <c r="N84" s="43"/>
    </row>
    <row r="85" spans="4:14">
      <c r="D85" s="181" t="s">
        <v>179</v>
      </c>
      <c r="E85" s="182" t="s">
        <v>220</v>
      </c>
      <c r="F85" s="184" t="s">
        <v>180</v>
      </c>
      <c r="G85" s="184" t="s">
        <v>207</v>
      </c>
      <c r="H85" s="182" t="s">
        <v>258</v>
      </c>
      <c r="I85" s="182" t="s">
        <v>260</v>
      </c>
      <c r="J85" s="190" t="s">
        <v>179</v>
      </c>
      <c r="K85" s="186" t="s">
        <v>396</v>
      </c>
      <c r="L85" s="187" t="s">
        <v>156</v>
      </c>
      <c r="N85" s="43"/>
    </row>
    <row r="86" spans="4:14">
      <c r="D86" s="181" t="s">
        <v>179</v>
      </c>
      <c r="E86" s="182" t="s">
        <v>220</v>
      </c>
      <c r="F86" s="184" t="s">
        <v>180</v>
      </c>
      <c r="G86" s="184" t="s">
        <v>206</v>
      </c>
      <c r="H86" s="182" t="s">
        <v>258</v>
      </c>
      <c r="I86" s="182" t="s">
        <v>259</v>
      </c>
      <c r="J86" s="190" t="s">
        <v>179</v>
      </c>
      <c r="K86" s="186" t="s">
        <v>395</v>
      </c>
      <c r="L86" s="187" t="s">
        <v>156</v>
      </c>
      <c r="N86" s="43"/>
    </row>
    <row r="87" spans="4:14">
      <c r="D87" s="181" t="s">
        <v>179</v>
      </c>
      <c r="E87" s="182" t="s">
        <v>220</v>
      </c>
      <c r="F87" s="184" t="s">
        <v>180</v>
      </c>
      <c r="G87" s="184" t="s">
        <v>205</v>
      </c>
      <c r="H87" s="182" t="s">
        <v>258</v>
      </c>
      <c r="I87" s="182" t="s">
        <v>20</v>
      </c>
      <c r="J87" s="190" t="s">
        <v>179</v>
      </c>
      <c r="K87" s="186" t="s">
        <v>393</v>
      </c>
      <c r="L87" s="187" t="s">
        <v>156</v>
      </c>
      <c r="N87" s="43"/>
    </row>
    <row r="88" spans="4:14">
      <c r="D88" s="181" t="s">
        <v>179</v>
      </c>
      <c r="E88" s="182" t="s">
        <v>220</v>
      </c>
      <c r="F88" s="184" t="s">
        <v>180</v>
      </c>
      <c r="G88" s="184" t="s">
        <v>212</v>
      </c>
      <c r="H88" s="182" t="s">
        <v>258</v>
      </c>
      <c r="I88" s="182" t="s">
        <v>267</v>
      </c>
      <c r="J88" s="190" t="s">
        <v>179</v>
      </c>
      <c r="K88" s="186" t="s">
        <v>409</v>
      </c>
      <c r="L88" s="187" t="s">
        <v>156</v>
      </c>
      <c r="N88" s="43"/>
    </row>
    <row r="89" spans="4:14">
      <c r="D89" s="181" t="s">
        <v>179</v>
      </c>
      <c r="E89" s="182" t="s">
        <v>220</v>
      </c>
      <c r="F89" s="184" t="s">
        <v>180</v>
      </c>
      <c r="G89" s="184" t="s">
        <v>493</v>
      </c>
      <c r="H89" s="182" t="s">
        <v>258</v>
      </c>
      <c r="I89" s="182" t="s">
        <v>494</v>
      </c>
      <c r="J89" s="190" t="s">
        <v>179</v>
      </c>
      <c r="K89" s="186" t="s">
        <v>497</v>
      </c>
      <c r="L89" s="187" t="s">
        <v>156</v>
      </c>
      <c r="N89" s="43"/>
    </row>
    <row r="90" spans="4:14">
      <c r="D90" s="181" t="s">
        <v>179</v>
      </c>
      <c r="E90" s="182" t="s">
        <v>220</v>
      </c>
      <c r="F90" s="184" t="s">
        <v>180</v>
      </c>
      <c r="G90" s="184" t="s">
        <v>496</v>
      </c>
      <c r="H90" s="182" t="s">
        <v>258</v>
      </c>
      <c r="I90" s="182" t="s">
        <v>495</v>
      </c>
      <c r="J90" s="190" t="s">
        <v>179</v>
      </c>
      <c r="K90" s="186" t="s">
        <v>498</v>
      </c>
      <c r="L90" s="187" t="s">
        <v>156</v>
      </c>
      <c r="N90" s="43"/>
    </row>
    <row r="91" spans="4:14">
      <c r="D91" s="188" t="s">
        <v>45</v>
      </c>
      <c r="E91" s="189" t="s">
        <v>220</v>
      </c>
      <c r="F91" s="183" t="s">
        <v>45</v>
      </c>
      <c r="G91" s="184" t="s">
        <v>11</v>
      </c>
      <c r="H91" s="182" t="s">
        <v>258</v>
      </c>
      <c r="I91" s="189" t="s">
        <v>23</v>
      </c>
      <c r="J91" s="190" t="s">
        <v>45</v>
      </c>
      <c r="K91" s="186" t="str">
        <f>H91&amp;"-"&amp;I91&amp;"-"&amp;J91</f>
        <v>COE-002-PTO</v>
      </c>
      <c r="L91" s="187" t="s">
        <v>156</v>
      </c>
      <c r="N91" s="43"/>
    </row>
    <row r="92" spans="4:14">
      <c r="D92" s="188" t="s">
        <v>45</v>
      </c>
      <c r="E92" s="190" t="s">
        <v>220</v>
      </c>
      <c r="F92" s="183" t="s">
        <v>45</v>
      </c>
      <c r="G92" s="184" t="s">
        <v>223</v>
      </c>
      <c r="H92" s="182" t="s">
        <v>258</v>
      </c>
      <c r="I92" s="189" t="s">
        <v>9</v>
      </c>
      <c r="J92" s="190" t="s">
        <v>45</v>
      </c>
      <c r="K92" s="186" t="str">
        <f>H92&amp;"-"&amp;I92&amp;"-"&amp;J92</f>
        <v>COE-001-PTO</v>
      </c>
      <c r="L92" s="187" t="s">
        <v>156</v>
      </c>
      <c r="N92" s="42"/>
    </row>
    <row r="93" spans="4:14">
      <c r="D93" s="188"/>
      <c r="E93" s="189"/>
      <c r="F93" s="183"/>
      <c r="G93" s="184"/>
      <c r="H93" s="182"/>
      <c r="I93" s="189"/>
      <c r="J93" s="190"/>
      <c r="K93" s="186"/>
      <c r="L93" s="187"/>
      <c r="N93" s="43"/>
    </row>
    <row r="94" spans="4:14">
      <c r="D94" s="188"/>
      <c r="E94" s="190"/>
      <c r="F94" s="183"/>
      <c r="G94" s="184"/>
      <c r="H94" s="182"/>
      <c r="I94" s="189"/>
      <c r="J94" s="190"/>
      <c r="K94" s="186"/>
      <c r="L94" s="187"/>
      <c r="N94" s="43"/>
    </row>
    <row r="95" spans="4:14">
      <c r="N95" s="43"/>
    </row>
    <row r="96" spans="4:14">
      <c r="N96" s="43"/>
    </row>
    <row r="97" spans="14:14">
      <c r="N97" s="43"/>
    </row>
    <row r="98" spans="14:14">
      <c r="N98" s="43"/>
    </row>
    <row r="99" spans="14:14">
      <c r="N99" s="43"/>
    </row>
    <row r="100" spans="14:14">
      <c r="N100" s="43"/>
    </row>
    <row r="101" spans="14:14">
      <c r="N101" s="43"/>
    </row>
    <row r="102" spans="14:14">
      <c r="N102" s="43"/>
    </row>
    <row r="103" spans="14:14">
      <c r="N103" s="43"/>
    </row>
    <row r="104" spans="14:14">
      <c r="N104" s="43"/>
    </row>
    <row r="105" spans="14:14">
      <c r="N105" s="43"/>
    </row>
    <row r="106" spans="14:14">
      <c r="N106" s="43"/>
    </row>
    <row r="107" spans="14:14">
      <c r="N107" s="43"/>
    </row>
    <row r="108" spans="14:14">
      <c r="N108" s="43"/>
    </row>
    <row r="109" spans="14:14">
      <c r="N109" s="43"/>
    </row>
    <row r="110" spans="14:14">
      <c r="N110" s="43"/>
    </row>
    <row r="111" spans="14:14">
      <c r="N111" s="43"/>
    </row>
    <row r="112" spans="14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</sheetData>
  <mergeCells count="5">
    <mergeCell ref="Q4:Q5"/>
    <mergeCell ref="S4:S5"/>
    <mergeCell ref="D4:E4"/>
    <mergeCell ref="G4:G5"/>
    <mergeCell ref="H4:H5"/>
  </mergeCells>
  <phoneticPr fontId="17" type="noConversion"/>
  <dataValidations count="4">
    <dataValidation type="list" allowBlank="1" showInputMessage="1" showErrorMessage="1" sqref="J93:J94" xr:uid="{E4D2891C-1EAE-45C8-85B3-E9148B8A0E4C}">
      <formula1>$D$5:$D$8</formula1>
    </dataValidation>
    <dataValidation type="list" allowBlank="1" showInputMessage="1" showErrorMessage="1" sqref="D93:D94" xr:uid="{21BB7928-5D7A-4476-A650-32DFC68B9D8D}">
      <formula1>$D$5:$D$9</formula1>
    </dataValidation>
    <dataValidation type="list" allowBlank="1" showInputMessage="1" showErrorMessage="1" sqref="N12:N122" xr:uid="{5C2867A4-3761-4A07-8350-3DD655C65BD4}">
      <formula1>$Q$6:$Q$43</formula1>
    </dataValidation>
    <dataValidation type="list" allowBlank="1" showInputMessage="1" showErrorMessage="1" sqref="F12:F94" xr:uid="{C2AFABE1-4744-4C32-A6DD-E90ECA98671E}">
      <formula1>$E$5:$E$9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D514-3273-4425-B87B-CFA081408CDF}">
  <sheetPr codeName="Sheet11"/>
  <dimension ref="A1:U75"/>
  <sheetViews>
    <sheetView showGridLines="0" topLeftCell="A9" zoomScaleNormal="100" workbookViewId="0">
      <selection activeCell="G10" sqref="G10"/>
    </sheetView>
  </sheetViews>
  <sheetFormatPr defaultColWidth="8.88671875" defaultRowHeight="13"/>
  <cols>
    <col min="1" max="2" width="1.5546875" style="146" customWidth="1"/>
    <col min="3" max="3" width="21.6640625" style="146" customWidth="1"/>
    <col min="4" max="4" width="16.5546875" style="146" bestFit="1" customWidth="1"/>
    <col min="5" max="5" width="32.33203125" style="146" bestFit="1" customWidth="1"/>
    <col min="6" max="6" width="28.6640625" style="146" bestFit="1" customWidth="1"/>
    <col min="7" max="7" width="47" style="146" bestFit="1" customWidth="1"/>
    <col min="8" max="8" width="13.5546875" style="146" bestFit="1" customWidth="1"/>
    <col min="9" max="9" width="9" style="146" bestFit="1" customWidth="1"/>
    <col min="10" max="10" width="11.109375" style="146" customWidth="1"/>
    <col min="11" max="11" width="14.6640625" style="146" bestFit="1" customWidth="1"/>
    <col min="12" max="13" width="8.88671875" style="146"/>
    <col min="14" max="14" width="30.33203125" style="146" bestFit="1" customWidth="1"/>
    <col min="15" max="15" width="8.88671875" style="146"/>
    <col min="16" max="16" width="30.33203125" style="146" bestFit="1" customWidth="1"/>
    <col min="17" max="16384" width="8.88671875" style="146"/>
  </cols>
  <sheetData>
    <row r="1" spans="1:21" ht="25.15" customHeight="1">
      <c r="D1" s="6"/>
    </row>
    <row r="2" spans="1:21" ht="5.25" customHeight="1" thickBot="1"/>
    <row r="3" spans="1:21" ht="13.5" customHeight="1" thickBot="1">
      <c r="D3" s="242" t="s">
        <v>18</v>
      </c>
      <c r="E3" s="243"/>
    </row>
    <row r="4" spans="1:21">
      <c r="D4" s="147" t="s">
        <v>13</v>
      </c>
      <c r="E4" s="148" t="s">
        <v>14</v>
      </c>
      <c r="G4" s="244" t="s">
        <v>39</v>
      </c>
      <c r="H4" s="240">
        <v>44592</v>
      </c>
    </row>
    <row r="5" spans="1:21" ht="13.5" thickBot="1">
      <c r="D5" s="149" t="s">
        <v>306</v>
      </c>
      <c r="E5" s="150" t="s">
        <v>307</v>
      </c>
      <c r="G5" s="245"/>
      <c r="H5" s="241"/>
    </row>
    <row r="6" spans="1:21" ht="26.5" thickBot="1">
      <c r="D6" s="151" t="s">
        <v>308</v>
      </c>
      <c r="E6" s="152" t="s">
        <v>309</v>
      </c>
      <c r="P6" s="232" t="s">
        <v>183</v>
      </c>
      <c r="Q6" s="5"/>
      <c r="R6" s="234" t="s">
        <v>155</v>
      </c>
      <c r="S6" s="5"/>
      <c r="T6" s="66" t="s">
        <v>17</v>
      </c>
      <c r="U6" s="5"/>
    </row>
    <row r="7" spans="1:21" ht="7.15" customHeight="1" thickBot="1">
      <c r="E7" s="153"/>
      <c r="P7" s="233"/>
      <c r="Q7" s="5"/>
      <c r="R7" s="235"/>
      <c r="S7" s="5"/>
      <c r="T7" s="49" t="s">
        <v>214</v>
      </c>
      <c r="U7" s="5"/>
    </row>
    <row r="8" spans="1:21" ht="13.5" thickBot="1">
      <c r="D8" s="154"/>
      <c r="E8" s="154"/>
      <c r="F8" s="154"/>
      <c r="G8" s="154"/>
      <c r="H8" s="154"/>
      <c r="I8" s="154"/>
      <c r="J8" s="154"/>
      <c r="K8" s="154"/>
      <c r="L8" s="154"/>
      <c r="P8" s="44" t="s">
        <v>184</v>
      </c>
      <c r="Q8" s="5"/>
      <c r="R8" s="44" t="s">
        <v>156</v>
      </c>
      <c r="S8" s="5"/>
      <c r="T8" s="116" t="s">
        <v>215</v>
      </c>
      <c r="U8" s="5"/>
    </row>
    <row r="9" spans="1:21" s="155" customFormat="1" ht="26.5" thickBot="1">
      <c r="D9" s="156" t="s">
        <v>31</v>
      </c>
      <c r="E9" s="157" t="s">
        <v>16</v>
      </c>
      <c r="F9" s="157" t="s">
        <v>33</v>
      </c>
      <c r="G9" s="157" t="s">
        <v>34</v>
      </c>
      <c r="H9" s="157" t="s">
        <v>17</v>
      </c>
      <c r="I9" s="157" t="s">
        <v>40</v>
      </c>
      <c r="J9" s="157" t="s">
        <v>51</v>
      </c>
      <c r="K9" s="157" t="s">
        <v>12</v>
      </c>
      <c r="L9" s="158" t="s">
        <v>155</v>
      </c>
      <c r="N9" s="144" t="s">
        <v>183</v>
      </c>
      <c r="P9" s="45" t="s">
        <v>185</v>
      </c>
      <c r="Q9" s="5"/>
      <c r="R9" s="47" t="s">
        <v>157</v>
      </c>
      <c r="S9" s="5"/>
      <c r="T9" s="116" t="s">
        <v>255</v>
      </c>
      <c r="U9" s="5"/>
    </row>
    <row r="10" spans="1:21">
      <c r="D10" s="147" t="s">
        <v>13</v>
      </c>
      <c r="E10" s="159" t="s">
        <v>217</v>
      </c>
      <c r="F10" s="160" t="s">
        <v>14</v>
      </c>
      <c r="G10" s="160" t="s">
        <v>310</v>
      </c>
      <c r="H10" s="161" t="s">
        <v>258</v>
      </c>
      <c r="I10" s="159" t="s">
        <v>9</v>
      </c>
      <c r="J10" s="162" t="s">
        <v>13</v>
      </c>
      <c r="K10" s="163" t="s">
        <v>311</v>
      </c>
      <c r="L10" s="164" t="s">
        <v>156</v>
      </c>
      <c r="N10" s="42" t="s">
        <v>218</v>
      </c>
      <c r="P10" s="45" t="s">
        <v>186</v>
      </c>
      <c r="Q10" s="5"/>
      <c r="R10" s="5"/>
      <c r="S10" s="5"/>
      <c r="T10" s="116" t="s">
        <v>256</v>
      </c>
      <c r="U10" s="5"/>
    </row>
    <row r="11" spans="1:21">
      <c r="A11" s="6" t="s">
        <v>38</v>
      </c>
      <c r="D11" s="165" t="s">
        <v>13</v>
      </c>
      <c r="E11" s="166" t="s">
        <v>181</v>
      </c>
      <c r="F11" s="167" t="s">
        <v>14</v>
      </c>
      <c r="G11" s="168" t="s">
        <v>312</v>
      </c>
      <c r="H11" s="169" t="s">
        <v>214</v>
      </c>
      <c r="I11" s="166" t="s">
        <v>9</v>
      </c>
      <c r="J11" s="170" t="s">
        <v>13</v>
      </c>
      <c r="K11" s="171" t="s">
        <v>313</v>
      </c>
      <c r="L11" s="172" t="s">
        <v>156</v>
      </c>
      <c r="N11" s="43" t="s">
        <v>189</v>
      </c>
      <c r="P11" s="45" t="s">
        <v>187</v>
      </c>
      <c r="Q11" s="5"/>
      <c r="R11" s="5"/>
      <c r="S11" s="5"/>
      <c r="T11" s="116" t="s">
        <v>258</v>
      </c>
      <c r="U11" s="5"/>
    </row>
    <row r="12" spans="1:21">
      <c r="A12" s="6"/>
      <c r="D12" s="165" t="s">
        <v>13</v>
      </c>
      <c r="E12" s="166" t="s">
        <v>181</v>
      </c>
      <c r="F12" s="167" t="s">
        <v>14</v>
      </c>
      <c r="G12" s="168" t="s">
        <v>314</v>
      </c>
      <c r="H12" s="169" t="s">
        <v>214</v>
      </c>
      <c r="I12" s="166" t="s">
        <v>23</v>
      </c>
      <c r="J12" s="170" t="s">
        <v>13</v>
      </c>
      <c r="K12" s="171" t="s">
        <v>315</v>
      </c>
      <c r="L12" s="172" t="s">
        <v>156</v>
      </c>
      <c r="N12" s="43" t="s">
        <v>158</v>
      </c>
      <c r="P12" s="45" t="s">
        <v>188</v>
      </c>
      <c r="Q12" s="5"/>
      <c r="R12" s="5"/>
      <c r="S12" s="5"/>
      <c r="T12" s="116" t="s">
        <v>257</v>
      </c>
      <c r="U12" s="5"/>
    </row>
    <row r="13" spans="1:21">
      <c r="A13" s="6"/>
      <c r="D13" s="165" t="s">
        <v>13</v>
      </c>
      <c r="E13" s="166" t="s">
        <v>216</v>
      </c>
      <c r="F13" s="167" t="s">
        <v>14</v>
      </c>
      <c r="G13" s="168" t="s">
        <v>271</v>
      </c>
      <c r="H13" s="169" t="s">
        <v>256</v>
      </c>
      <c r="I13" s="166" t="s">
        <v>21</v>
      </c>
      <c r="J13" s="170" t="s">
        <v>13</v>
      </c>
      <c r="K13" s="171" t="s">
        <v>316</v>
      </c>
      <c r="L13" s="172" t="s">
        <v>156</v>
      </c>
      <c r="N13" s="42" t="s">
        <v>190</v>
      </c>
      <c r="P13" s="46" t="s">
        <v>189</v>
      </c>
      <c r="Q13" s="7"/>
      <c r="R13" s="7"/>
      <c r="S13" s="7"/>
      <c r="T13" s="116" t="s">
        <v>288</v>
      </c>
      <c r="U13" s="7"/>
    </row>
    <row r="14" spans="1:21">
      <c r="D14" s="165" t="s">
        <v>13</v>
      </c>
      <c r="E14" s="166" t="s">
        <v>216</v>
      </c>
      <c r="F14" s="167" t="s">
        <v>14</v>
      </c>
      <c r="G14" s="168" t="s">
        <v>317</v>
      </c>
      <c r="H14" s="169" t="s">
        <v>256</v>
      </c>
      <c r="I14" s="166" t="s">
        <v>20</v>
      </c>
      <c r="J14" s="170" t="s">
        <v>13</v>
      </c>
      <c r="K14" s="171" t="s">
        <v>318</v>
      </c>
      <c r="L14" s="172" t="s">
        <v>156</v>
      </c>
      <c r="N14" s="42" t="s">
        <v>158</v>
      </c>
      <c r="P14" s="45" t="s">
        <v>158</v>
      </c>
      <c r="Q14" s="5"/>
      <c r="R14" s="5"/>
      <c r="S14" s="5"/>
      <c r="T14" s="46" t="s">
        <v>296</v>
      </c>
      <c r="U14" s="5"/>
    </row>
    <row r="15" spans="1:21">
      <c r="D15" s="165" t="s">
        <v>13</v>
      </c>
      <c r="E15" s="166" t="s">
        <v>213</v>
      </c>
      <c r="F15" s="167" t="s">
        <v>14</v>
      </c>
      <c r="G15" s="168" t="s">
        <v>319</v>
      </c>
      <c r="H15" s="169" t="s">
        <v>215</v>
      </c>
      <c r="I15" s="166" t="s">
        <v>9</v>
      </c>
      <c r="J15" s="170" t="s">
        <v>13</v>
      </c>
      <c r="K15" s="171" t="s">
        <v>320</v>
      </c>
      <c r="L15" s="172" t="s">
        <v>156</v>
      </c>
      <c r="N15" s="42" t="s">
        <v>191</v>
      </c>
      <c r="P15" s="45" t="s">
        <v>190</v>
      </c>
      <c r="Q15" s="5"/>
      <c r="R15" s="5"/>
      <c r="S15" s="5"/>
      <c r="T15" s="46" t="s">
        <v>298</v>
      </c>
      <c r="U15" s="5"/>
    </row>
    <row r="16" spans="1:21">
      <c r="D16" s="165" t="s">
        <v>13</v>
      </c>
      <c r="E16" s="166" t="s">
        <v>213</v>
      </c>
      <c r="F16" s="167" t="s">
        <v>14</v>
      </c>
      <c r="G16" s="168" t="s">
        <v>321</v>
      </c>
      <c r="H16" s="169" t="s">
        <v>215</v>
      </c>
      <c r="I16" s="166" t="s">
        <v>23</v>
      </c>
      <c r="J16" s="170" t="s">
        <v>13</v>
      </c>
      <c r="K16" s="171" t="s">
        <v>322</v>
      </c>
      <c r="L16" s="172" t="s">
        <v>156</v>
      </c>
      <c r="N16" s="42" t="s">
        <v>192</v>
      </c>
      <c r="P16" s="45" t="s">
        <v>191</v>
      </c>
      <c r="Q16" s="5"/>
      <c r="R16" s="5"/>
      <c r="S16" s="5"/>
      <c r="T16" s="46" t="s">
        <v>299</v>
      </c>
      <c r="U16" s="5"/>
    </row>
    <row r="17" spans="4:21">
      <c r="D17" s="165" t="s">
        <v>13</v>
      </c>
      <c r="E17" s="166" t="s">
        <v>213</v>
      </c>
      <c r="F17" s="167" t="s">
        <v>14</v>
      </c>
      <c r="G17" s="168" t="s">
        <v>323</v>
      </c>
      <c r="H17" s="169" t="s">
        <v>215</v>
      </c>
      <c r="I17" s="166" t="s">
        <v>21</v>
      </c>
      <c r="J17" s="170" t="s">
        <v>13</v>
      </c>
      <c r="K17" s="171" t="s">
        <v>324</v>
      </c>
      <c r="L17" s="172" t="s">
        <v>156</v>
      </c>
      <c r="N17" s="42" t="s">
        <v>193</v>
      </c>
      <c r="P17" s="45" t="s">
        <v>192</v>
      </c>
      <c r="Q17" s="5"/>
      <c r="R17" s="5"/>
      <c r="S17" s="5"/>
      <c r="T17" s="46" t="s">
        <v>300</v>
      </c>
      <c r="U17" s="5"/>
    </row>
    <row r="18" spans="4:21">
      <c r="D18" s="165" t="s">
        <v>13</v>
      </c>
      <c r="E18" s="166" t="s">
        <v>213</v>
      </c>
      <c r="F18" s="167" t="s">
        <v>14</v>
      </c>
      <c r="G18" s="168" t="s">
        <v>325</v>
      </c>
      <c r="H18" s="169" t="s">
        <v>215</v>
      </c>
      <c r="I18" s="166" t="s">
        <v>20</v>
      </c>
      <c r="J18" s="170" t="s">
        <v>13</v>
      </c>
      <c r="K18" s="171" t="s">
        <v>326</v>
      </c>
      <c r="L18" s="172" t="s">
        <v>156</v>
      </c>
      <c r="N18" s="42" t="s">
        <v>194</v>
      </c>
      <c r="P18" s="45" t="s">
        <v>193</v>
      </c>
      <c r="Q18" s="5"/>
      <c r="R18" s="5"/>
      <c r="S18" s="5"/>
      <c r="T18" s="46" t="s">
        <v>301</v>
      </c>
      <c r="U18" s="5"/>
    </row>
    <row r="19" spans="4:21">
      <c r="D19" s="165" t="s">
        <v>13</v>
      </c>
      <c r="E19" s="166" t="s">
        <v>213</v>
      </c>
      <c r="F19" s="167" t="s">
        <v>14</v>
      </c>
      <c r="G19" s="168" t="s">
        <v>410</v>
      </c>
      <c r="H19" s="169" t="s">
        <v>215</v>
      </c>
      <c r="I19" s="166" t="s">
        <v>259</v>
      </c>
      <c r="J19" s="170" t="s">
        <v>13</v>
      </c>
      <c r="K19" s="171" t="s">
        <v>411</v>
      </c>
      <c r="L19" s="172" t="s">
        <v>156</v>
      </c>
      <c r="N19" s="42" t="s">
        <v>195</v>
      </c>
      <c r="P19" s="45" t="s">
        <v>194</v>
      </c>
      <c r="Q19" s="5"/>
      <c r="R19" s="5"/>
      <c r="S19" s="5"/>
      <c r="T19" s="46" t="s">
        <v>303</v>
      </c>
      <c r="U19" s="5"/>
    </row>
    <row r="20" spans="4:21">
      <c r="D20" s="165" t="s">
        <v>13</v>
      </c>
      <c r="E20" s="166" t="s">
        <v>300</v>
      </c>
      <c r="F20" s="167" t="s">
        <v>14</v>
      </c>
      <c r="G20" s="168" t="s">
        <v>327</v>
      </c>
      <c r="H20" s="169" t="s">
        <v>300</v>
      </c>
      <c r="I20" s="166" t="s">
        <v>9</v>
      </c>
      <c r="J20" s="170" t="s">
        <v>13</v>
      </c>
      <c r="K20" s="171" t="s">
        <v>328</v>
      </c>
      <c r="L20" s="172" t="s">
        <v>156</v>
      </c>
      <c r="N20" s="42" t="s">
        <v>196</v>
      </c>
      <c r="P20" s="45" t="s">
        <v>195</v>
      </c>
      <c r="Q20" s="5"/>
      <c r="R20" s="5"/>
      <c r="S20" s="5"/>
      <c r="T20" s="46" t="s">
        <v>305</v>
      </c>
      <c r="U20" s="5"/>
    </row>
    <row r="21" spans="4:21" ht="13.5" thickBot="1">
      <c r="D21" s="165" t="s">
        <v>13</v>
      </c>
      <c r="E21" s="166" t="s">
        <v>297</v>
      </c>
      <c r="F21" s="167" t="s">
        <v>14</v>
      </c>
      <c r="G21" s="168" t="s">
        <v>329</v>
      </c>
      <c r="H21" s="169" t="s">
        <v>298</v>
      </c>
      <c r="I21" s="166" t="s">
        <v>9</v>
      </c>
      <c r="J21" s="170" t="s">
        <v>13</v>
      </c>
      <c r="K21" s="171" t="s">
        <v>330</v>
      </c>
      <c r="L21" s="172" t="s">
        <v>156</v>
      </c>
      <c r="N21" s="42" t="s">
        <v>197</v>
      </c>
      <c r="P21" s="45" t="s">
        <v>196</v>
      </c>
      <c r="Q21" s="5"/>
      <c r="R21" s="5"/>
      <c r="S21" s="5"/>
      <c r="T21" s="47" t="s">
        <v>301</v>
      </c>
      <c r="U21" s="5"/>
    </row>
    <row r="22" spans="4:21">
      <c r="D22" s="165" t="s">
        <v>13</v>
      </c>
      <c r="E22" s="168" t="s">
        <v>301</v>
      </c>
      <c r="F22" s="167" t="s">
        <v>14</v>
      </c>
      <c r="G22" s="168" t="s">
        <v>331</v>
      </c>
      <c r="H22" s="170" t="s">
        <v>301</v>
      </c>
      <c r="I22" s="166" t="s">
        <v>9</v>
      </c>
      <c r="J22" s="169" t="s">
        <v>13</v>
      </c>
      <c r="K22" s="171" t="s">
        <v>332</v>
      </c>
      <c r="L22" s="172" t="s">
        <v>156</v>
      </c>
      <c r="N22" s="42" t="s">
        <v>198</v>
      </c>
      <c r="P22" s="45" t="s">
        <v>197</v>
      </c>
      <c r="Q22" s="5"/>
      <c r="R22" s="5"/>
      <c r="S22" s="5"/>
      <c r="T22" s="5"/>
      <c r="U22" s="48" t="s">
        <v>219</v>
      </c>
    </row>
    <row r="23" spans="4:21">
      <c r="D23" s="165" t="s">
        <v>13</v>
      </c>
      <c r="E23" s="168" t="s">
        <v>302</v>
      </c>
      <c r="F23" s="167" t="s">
        <v>14</v>
      </c>
      <c r="G23" s="168" t="s">
        <v>333</v>
      </c>
      <c r="H23" s="173" t="s">
        <v>303</v>
      </c>
      <c r="I23" s="166" t="s">
        <v>9</v>
      </c>
      <c r="J23" s="169" t="s">
        <v>13</v>
      </c>
      <c r="K23" s="171" t="s">
        <v>334</v>
      </c>
      <c r="L23" s="172" t="s">
        <v>156</v>
      </c>
      <c r="N23" s="42" t="s">
        <v>199</v>
      </c>
      <c r="P23" s="45" t="s">
        <v>218</v>
      </c>
      <c r="Q23" s="5"/>
      <c r="R23" s="5"/>
      <c r="S23" s="5"/>
      <c r="T23" s="5"/>
      <c r="U23" s="48" t="s">
        <v>221</v>
      </c>
    </row>
    <row r="24" spans="4:21">
      <c r="D24" s="165" t="s">
        <v>13</v>
      </c>
      <c r="E24" s="168" t="s">
        <v>412</v>
      </c>
      <c r="F24" s="167" t="s">
        <v>14</v>
      </c>
      <c r="G24" s="168" t="s">
        <v>413</v>
      </c>
      <c r="H24" s="170" t="s">
        <v>414</v>
      </c>
      <c r="I24" s="166" t="s">
        <v>9</v>
      </c>
      <c r="J24" s="169" t="s">
        <v>13</v>
      </c>
      <c r="K24" s="171" t="s">
        <v>415</v>
      </c>
      <c r="L24" s="172" t="s">
        <v>156</v>
      </c>
      <c r="N24" s="42" t="s">
        <v>196</v>
      </c>
      <c r="P24" s="45" t="s">
        <v>198</v>
      </c>
      <c r="Q24" s="5"/>
      <c r="R24" s="5"/>
      <c r="S24" s="5"/>
      <c r="T24" s="5"/>
      <c r="U24" s="5"/>
    </row>
    <row r="25" spans="4:21">
      <c r="D25" s="165" t="s">
        <v>13</v>
      </c>
      <c r="E25" s="168" t="s">
        <v>416</v>
      </c>
      <c r="F25" s="167" t="s">
        <v>14</v>
      </c>
      <c r="G25" s="168" t="s">
        <v>417</v>
      </c>
      <c r="H25" s="170" t="s">
        <v>416</v>
      </c>
      <c r="I25" s="166" t="s">
        <v>9</v>
      </c>
      <c r="J25" s="169" t="s">
        <v>13</v>
      </c>
      <c r="K25" s="171" t="s">
        <v>418</v>
      </c>
      <c r="L25" s="172" t="s">
        <v>156</v>
      </c>
      <c r="N25" s="42" t="s">
        <v>200</v>
      </c>
      <c r="P25" s="45" t="s">
        <v>199</v>
      </c>
      <c r="Q25" s="5"/>
      <c r="R25" s="5"/>
      <c r="S25" s="5"/>
      <c r="T25" s="5"/>
      <c r="U25" s="5"/>
    </row>
    <row r="26" spans="4:21">
      <c r="D26" s="165" t="s">
        <v>13</v>
      </c>
      <c r="E26" s="168" t="s">
        <v>419</v>
      </c>
      <c r="F26" s="167" t="s">
        <v>14</v>
      </c>
      <c r="G26" s="168" t="s">
        <v>420</v>
      </c>
      <c r="H26" s="170" t="s">
        <v>421</v>
      </c>
      <c r="I26" s="166" t="s">
        <v>9</v>
      </c>
      <c r="J26" s="169" t="s">
        <v>13</v>
      </c>
      <c r="K26" s="171" t="s">
        <v>422</v>
      </c>
      <c r="L26" s="172" t="s">
        <v>156</v>
      </c>
      <c r="N26" s="42" t="s">
        <v>201</v>
      </c>
      <c r="P26" s="45" t="s">
        <v>200</v>
      </c>
      <c r="Q26" s="5"/>
      <c r="R26" s="5"/>
      <c r="S26" s="5"/>
      <c r="T26" s="5"/>
      <c r="U26" s="5"/>
    </row>
    <row r="27" spans="4:21">
      <c r="D27" s="165" t="s">
        <v>178</v>
      </c>
      <c r="E27" s="168" t="s">
        <v>181</v>
      </c>
      <c r="F27" s="167" t="s">
        <v>14</v>
      </c>
      <c r="G27" s="168" t="s">
        <v>253</v>
      </c>
      <c r="H27" s="170" t="s">
        <v>214</v>
      </c>
      <c r="I27" s="166" t="s">
        <v>9</v>
      </c>
      <c r="J27" s="169" t="s">
        <v>178</v>
      </c>
      <c r="K27" s="171" t="s">
        <v>335</v>
      </c>
      <c r="L27" s="172" t="s">
        <v>156</v>
      </c>
      <c r="N27" s="42" t="s">
        <v>201</v>
      </c>
      <c r="P27" s="45" t="s">
        <v>201</v>
      </c>
      <c r="Q27" s="5"/>
      <c r="R27" s="5"/>
      <c r="S27" s="5"/>
      <c r="T27" s="5"/>
      <c r="U27" s="5"/>
    </row>
    <row r="28" spans="4:21">
      <c r="D28" s="165" t="s">
        <v>178</v>
      </c>
      <c r="E28" s="168" t="s">
        <v>213</v>
      </c>
      <c r="F28" s="167" t="s">
        <v>289</v>
      </c>
      <c r="G28" s="168" t="s">
        <v>336</v>
      </c>
      <c r="H28" s="170" t="s">
        <v>215</v>
      </c>
      <c r="I28" s="166" t="s">
        <v>9</v>
      </c>
      <c r="J28" s="169" t="s">
        <v>178</v>
      </c>
      <c r="K28" s="171" t="s">
        <v>337</v>
      </c>
      <c r="L28" s="172" t="s">
        <v>156</v>
      </c>
      <c r="N28" s="42" t="s">
        <v>201</v>
      </c>
      <c r="P28" s="45" t="s">
        <v>202</v>
      </c>
      <c r="Q28" s="5"/>
      <c r="R28" s="5"/>
      <c r="S28" s="5"/>
      <c r="T28" s="5"/>
      <c r="U28" s="5"/>
    </row>
    <row r="29" spans="4:21">
      <c r="D29" s="165" t="s">
        <v>178</v>
      </c>
      <c r="E29" s="174" t="s">
        <v>213</v>
      </c>
      <c r="F29" s="167" t="s">
        <v>289</v>
      </c>
      <c r="G29" s="168" t="s">
        <v>268</v>
      </c>
      <c r="H29" s="170" t="s">
        <v>215</v>
      </c>
      <c r="I29" s="166" t="s">
        <v>23</v>
      </c>
      <c r="J29" s="170" t="s">
        <v>178</v>
      </c>
      <c r="K29" s="171" t="s">
        <v>338</v>
      </c>
      <c r="L29" s="172" t="s">
        <v>156</v>
      </c>
      <c r="N29" s="42" t="s">
        <v>201</v>
      </c>
      <c r="P29" s="45" t="s">
        <v>203</v>
      </c>
      <c r="Q29" s="5"/>
      <c r="R29" s="5"/>
      <c r="S29" s="5"/>
      <c r="T29" s="5"/>
      <c r="U29" s="5"/>
    </row>
    <row r="30" spans="4:21">
      <c r="D30" s="165" t="s">
        <v>178</v>
      </c>
      <c r="E30" s="166" t="s">
        <v>213</v>
      </c>
      <c r="F30" s="167" t="s">
        <v>289</v>
      </c>
      <c r="G30" s="168" t="s">
        <v>339</v>
      </c>
      <c r="H30" s="175" t="s">
        <v>215</v>
      </c>
      <c r="I30" s="166" t="s">
        <v>21</v>
      </c>
      <c r="J30" s="170" t="s">
        <v>178</v>
      </c>
      <c r="K30" s="171" t="s">
        <v>340</v>
      </c>
      <c r="L30" s="172" t="s">
        <v>156</v>
      </c>
      <c r="N30" s="42" t="s">
        <v>201</v>
      </c>
      <c r="P30" s="45" t="s">
        <v>204</v>
      </c>
      <c r="Q30" s="5"/>
      <c r="R30" s="5"/>
      <c r="S30" s="5"/>
      <c r="T30" s="5"/>
      <c r="U30" s="5"/>
    </row>
    <row r="31" spans="4:21">
      <c r="D31" s="149" t="s">
        <v>178</v>
      </c>
      <c r="E31" s="176" t="s">
        <v>213</v>
      </c>
      <c r="F31" s="167" t="s">
        <v>289</v>
      </c>
      <c r="G31" s="167" t="s">
        <v>423</v>
      </c>
      <c r="H31" s="175" t="s">
        <v>215</v>
      </c>
      <c r="I31" s="176" t="s">
        <v>20</v>
      </c>
      <c r="J31" s="177" t="s">
        <v>178</v>
      </c>
      <c r="K31" s="171" t="s">
        <v>424</v>
      </c>
      <c r="L31" s="172" t="s">
        <v>156</v>
      </c>
      <c r="N31" s="42" t="s">
        <v>201</v>
      </c>
      <c r="P31" s="45" t="s">
        <v>205</v>
      </c>
      <c r="Q31" s="5"/>
      <c r="R31" s="5"/>
      <c r="S31" s="5"/>
      <c r="T31" s="5"/>
      <c r="U31" s="5"/>
    </row>
    <row r="32" spans="4:21">
      <c r="D32" s="149" t="s">
        <v>178</v>
      </c>
      <c r="E32" s="178" t="s">
        <v>216</v>
      </c>
      <c r="F32" s="167" t="s">
        <v>289</v>
      </c>
      <c r="G32" s="167" t="s">
        <v>341</v>
      </c>
      <c r="H32" s="177" t="s">
        <v>256</v>
      </c>
      <c r="I32" s="176" t="s">
        <v>9</v>
      </c>
      <c r="J32" s="177" t="s">
        <v>178</v>
      </c>
      <c r="K32" s="171" t="s">
        <v>342</v>
      </c>
      <c r="L32" s="172" t="s">
        <v>156</v>
      </c>
      <c r="N32" s="42" t="s">
        <v>184</v>
      </c>
      <c r="P32" s="45" t="s">
        <v>206</v>
      </c>
      <c r="Q32" s="5"/>
      <c r="R32" s="5"/>
      <c r="S32" s="5"/>
      <c r="T32" s="5"/>
      <c r="U32" s="5"/>
    </row>
    <row r="33" spans="4:21">
      <c r="D33" s="149" t="s">
        <v>178</v>
      </c>
      <c r="E33" s="176" t="s">
        <v>216</v>
      </c>
      <c r="F33" s="167" t="s">
        <v>289</v>
      </c>
      <c r="G33" s="167" t="s">
        <v>343</v>
      </c>
      <c r="H33" s="175" t="s">
        <v>256</v>
      </c>
      <c r="I33" s="176" t="s">
        <v>23</v>
      </c>
      <c r="J33" s="177" t="s">
        <v>178</v>
      </c>
      <c r="K33" s="171" t="s">
        <v>344</v>
      </c>
      <c r="L33" s="172" t="s">
        <v>156</v>
      </c>
      <c r="N33" s="42" t="s">
        <v>185</v>
      </c>
      <c r="P33" s="45" t="s">
        <v>207</v>
      </c>
      <c r="Q33" s="5"/>
      <c r="R33" s="5"/>
      <c r="S33" s="5"/>
      <c r="T33" s="5"/>
      <c r="U33" s="5"/>
    </row>
    <row r="34" spans="4:21">
      <c r="D34" s="149" t="s">
        <v>178</v>
      </c>
      <c r="E34" s="166" t="s">
        <v>216</v>
      </c>
      <c r="F34" s="167" t="s">
        <v>289</v>
      </c>
      <c r="G34" s="167" t="s">
        <v>345</v>
      </c>
      <c r="H34" s="169" t="s">
        <v>256</v>
      </c>
      <c r="I34" s="166" t="s">
        <v>21</v>
      </c>
      <c r="J34" s="177" t="s">
        <v>178</v>
      </c>
      <c r="K34" s="171" t="s">
        <v>346</v>
      </c>
      <c r="L34" s="172" t="s">
        <v>156</v>
      </c>
      <c r="N34" s="42" t="s">
        <v>186</v>
      </c>
      <c r="P34" s="45" t="s">
        <v>208</v>
      </c>
      <c r="Q34" s="5"/>
      <c r="R34" s="5"/>
      <c r="S34" s="5"/>
      <c r="T34" s="5"/>
      <c r="U34" s="5"/>
    </row>
    <row r="35" spans="4:21">
      <c r="D35" s="165" t="s">
        <v>178</v>
      </c>
      <c r="E35" s="174" t="s">
        <v>216</v>
      </c>
      <c r="F35" s="167" t="s">
        <v>289</v>
      </c>
      <c r="G35" s="167" t="s">
        <v>347</v>
      </c>
      <c r="H35" s="170" t="s">
        <v>256</v>
      </c>
      <c r="I35" s="166" t="s">
        <v>20</v>
      </c>
      <c r="J35" s="177" t="s">
        <v>178</v>
      </c>
      <c r="K35" s="171" t="s">
        <v>348</v>
      </c>
      <c r="L35" s="172" t="s">
        <v>156</v>
      </c>
      <c r="N35" s="42" t="s">
        <v>187</v>
      </c>
      <c r="P35" s="45" t="s">
        <v>209</v>
      </c>
      <c r="Q35" s="5"/>
      <c r="R35" s="5"/>
      <c r="S35" s="5"/>
      <c r="T35" s="5"/>
      <c r="U35" s="5"/>
    </row>
    <row r="36" spans="4:21">
      <c r="D36" s="165" t="s">
        <v>178</v>
      </c>
      <c r="E36" s="174" t="s">
        <v>301</v>
      </c>
      <c r="F36" s="167" t="s">
        <v>289</v>
      </c>
      <c r="G36" s="167" t="s">
        <v>349</v>
      </c>
      <c r="H36" s="170" t="s">
        <v>301</v>
      </c>
      <c r="I36" s="166" t="s">
        <v>9</v>
      </c>
      <c r="J36" s="170" t="s">
        <v>178</v>
      </c>
      <c r="K36" s="171" t="s">
        <v>350</v>
      </c>
      <c r="L36" s="172" t="s">
        <v>156</v>
      </c>
      <c r="N36" s="42" t="s">
        <v>188</v>
      </c>
      <c r="P36" s="45" t="s">
        <v>210</v>
      </c>
      <c r="Q36" s="5"/>
      <c r="R36" s="5"/>
      <c r="S36" s="5"/>
      <c r="T36" s="5"/>
      <c r="U36" s="5"/>
    </row>
    <row r="37" spans="4:21">
      <c r="D37" s="165" t="s">
        <v>178</v>
      </c>
      <c r="E37" s="174" t="s">
        <v>300</v>
      </c>
      <c r="F37" s="167" t="s">
        <v>289</v>
      </c>
      <c r="G37" s="167" t="s">
        <v>425</v>
      </c>
      <c r="H37" s="170" t="s">
        <v>300</v>
      </c>
      <c r="I37" s="166" t="s">
        <v>9</v>
      </c>
      <c r="J37" s="170" t="s">
        <v>178</v>
      </c>
      <c r="K37" s="171" t="s">
        <v>426</v>
      </c>
      <c r="L37" s="172" t="s">
        <v>156</v>
      </c>
      <c r="N37" s="43" t="s">
        <v>194</v>
      </c>
      <c r="P37" s="45" t="s">
        <v>295</v>
      </c>
      <c r="Q37" s="5"/>
      <c r="R37" s="5"/>
      <c r="S37" s="5"/>
      <c r="T37" s="5"/>
      <c r="U37" s="5"/>
    </row>
    <row r="38" spans="4:21">
      <c r="D38" s="165" t="s">
        <v>283</v>
      </c>
      <c r="E38" s="166" t="s">
        <v>181</v>
      </c>
      <c r="F38" s="167" t="s">
        <v>284</v>
      </c>
      <c r="G38" s="167" t="s">
        <v>351</v>
      </c>
      <c r="H38" s="169" t="s">
        <v>214</v>
      </c>
      <c r="I38" s="166" t="s">
        <v>23</v>
      </c>
      <c r="J38" s="170" t="s">
        <v>178</v>
      </c>
      <c r="K38" s="171" t="s">
        <v>352</v>
      </c>
      <c r="L38" s="172" t="s">
        <v>156</v>
      </c>
      <c r="N38" s="43" t="s">
        <v>195</v>
      </c>
      <c r="P38" s="45" t="s">
        <v>211</v>
      </c>
      <c r="Q38" s="5"/>
      <c r="R38" s="5"/>
      <c r="S38" s="5"/>
      <c r="T38" s="5"/>
      <c r="U38" s="5"/>
    </row>
    <row r="39" spans="4:21">
      <c r="D39" s="165" t="s">
        <v>283</v>
      </c>
      <c r="E39" s="166" t="s">
        <v>181</v>
      </c>
      <c r="F39" s="167" t="s">
        <v>284</v>
      </c>
      <c r="G39" s="167" t="s">
        <v>353</v>
      </c>
      <c r="H39" s="169" t="s">
        <v>214</v>
      </c>
      <c r="I39" s="166" t="s">
        <v>21</v>
      </c>
      <c r="J39" s="170" t="s">
        <v>178</v>
      </c>
      <c r="K39" s="179" t="s">
        <v>354</v>
      </c>
      <c r="L39" s="172" t="s">
        <v>156</v>
      </c>
      <c r="N39" s="43" t="s">
        <v>196</v>
      </c>
      <c r="P39" s="45" t="s">
        <v>159</v>
      </c>
      <c r="Q39" s="5"/>
      <c r="R39" s="5"/>
      <c r="S39" s="5"/>
      <c r="T39" s="5"/>
      <c r="U39" s="5"/>
    </row>
    <row r="40" spans="4:21">
      <c r="D40" s="165" t="s">
        <v>283</v>
      </c>
      <c r="E40" s="174" t="s">
        <v>297</v>
      </c>
      <c r="F40" s="168" t="s">
        <v>284</v>
      </c>
      <c r="G40" s="168" t="s">
        <v>355</v>
      </c>
      <c r="H40" s="170" t="s">
        <v>298</v>
      </c>
      <c r="I40" s="166" t="s">
        <v>9</v>
      </c>
      <c r="J40" s="170" t="s">
        <v>283</v>
      </c>
      <c r="K40" s="179" t="s">
        <v>356</v>
      </c>
      <c r="L40" s="172" t="s">
        <v>156</v>
      </c>
      <c r="N40" s="42" t="s">
        <v>197</v>
      </c>
      <c r="P40" s="45" t="s">
        <v>212</v>
      </c>
      <c r="Q40" s="5"/>
      <c r="R40" s="5"/>
      <c r="S40" s="5"/>
      <c r="T40" s="5"/>
      <c r="U40" s="5"/>
    </row>
    <row r="41" spans="4:21">
      <c r="D41" s="165" t="s">
        <v>283</v>
      </c>
      <c r="E41" s="178" t="s">
        <v>304</v>
      </c>
      <c r="F41" s="167" t="s">
        <v>284</v>
      </c>
      <c r="G41" s="167" t="s">
        <v>357</v>
      </c>
      <c r="H41" s="177" t="s">
        <v>305</v>
      </c>
      <c r="I41" s="176" t="s">
        <v>9</v>
      </c>
      <c r="J41" s="177" t="s">
        <v>283</v>
      </c>
      <c r="K41" s="171" t="s">
        <v>358</v>
      </c>
      <c r="L41" s="172" t="s">
        <v>156</v>
      </c>
      <c r="N41" s="42" t="s">
        <v>188</v>
      </c>
      <c r="P41" s="45" t="s">
        <v>11</v>
      </c>
      <c r="Q41" s="5"/>
      <c r="R41" s="5"/>
      <c r="S41" s="5"/>
      <c r="T41" s="5"/>
      <c r="U41" s="5"/>
    </row>
    <row r="42" spans="4:21">
      <c r="D42" s="165" t="s">
        <v>83</v>
      </c>
      <c r="E42" s="176" t="s">
        <v>285</v>
      </c>
      <c r="F42" s="167" t="s">
        <v>282</v>
      </c>
      <c r="G42" s="167" t="s">
        <v>359</v>
      </c>
      <c r="H42" s="169" t="s">
        <v>288</v>
      </c>
      <c r="I42" s="166" t="s">
        <v>9</v>
      </c>
      <c r="J42" s="177" t="s">
        <v>179</v>
      </c>
      <c r="K42" s="171" t="s">
        <v>360</v>
      </c>
      <c r="L42" s="172" t="s">
        <v>156</v>
      </c>
      <c r="N42" s="42" t="s">
        <v>188</v>
      </c>
      <c r="P42" s="45" t="s">
        <v>223</v>
      </c>
      <c r="Q42" s="5"/>
      <c r="R42" s="5"/>
      <c r="S42" s="5"/>
      <c r="T42" s="5"/>
      <c r="U42" s="5"/>
    </row>
    <row r="43" spans="4:21">
      <c r="D43" s="165" t="s">
        <v>83</v>
      </c>
      <c r="E43" s="176" t="s">
        <v>285</v>
      </c>
      <c r="F43" s="167" t="s">
        <v>282</v>
      </c>
      <c r="G43" s="167" t="s">
        <v>361</v>
      </c>
      <c r="H43" s="169" t="s">
        <v>288</v>
      </c>
      <c r="I43" s="166" t="s">
        <v>23</v>
      </c>
      <c r="J43" s="177" t="s">
        <v>179</v>
      </c>
      <c r="K43" s="171" t="s">
        <v>362</v>
      </c>
      <c r="L43" s="172" t="s">
        <v>156</v>
      </c>
      <c r="N43" s="42" t="s">
        <v>227</v>
      </c>
      <c r="P43" s="45" t="s">
        <v>227</v>
      </c>
      <c r="Q43" s="5"/>
      <c r="R43" s="5"/>
      <c r="S43" s="5"/>
      <c r="T43" s="5"/>
      <c r="U43" s="5"/>
    </row>
    <row r="44" spans="4:21">
      <c r="D44" s="149" t="s">
        <v>83</v>
      </c>
      <c r="E44" s="176" t="s">
        <v>285</v>
      </c>
      <c r="F44" s="167" t="s">
        <v>282</v>
      </c>
      <c r="G44" s="167" t="s">
        <v>363</v>
      </c>
      <c r="H44" s="175" t="s">
        <v>288</v>
      </c>
      <c r="I44" s="176" t="s">
        <v>21</v>
      </c>
      <c r="J44" s="177" t="s">
        <v>179</v>
      </c>
      <c r="K44" s="171" t="s">
        <v>364</v>
      </c>
      <c r="L44" s="172" t="s">
        <v>156</v>
      </c>
      <c r="N44" s="42" t="s">
        <v>228</v>
      </c>
      <c r="P44" s="45" t="s">
        <v>228</v>
      </c>
      <c r="Q44" s="5"/>
      <c r="R44" s="5"/>
      <c r="S44" s="5"/>
      <c r="T44" s="5"/>
      <c r="U44" s="5"/>
    </row>
    <row r="45" spans="4:21" ht="13.5" thickBot="1">
      <c r="D45" s="165" t="s">
        <v>83</v>
      </c>
      <c r="E45" s="176" t="s">
        <v>285</v>
      </c>
      <c r="F45" s="167" t="s">
        <v>282</v>
      </c>
      <c r="G45" s="167" t="s">
        <v>365</v>
      </c>
      <c r="H45" s="175" t="s">
        <v>288</v>
      </c>
      <c r="I45" s="176" t="s">
        <v>20</v>
      </c>
      <c r="J45" s="177" t="s">
        <v>179</v>
      </c>
      <c r="K45" s="171" t="s">
        <v>366</v>
      </c>
      <c r="L45" s="172" t="s">
        <v>156</v>
      </c>
      <c r="N45" s="42" t="s">
        <v>188</v>
      </c>
      <c r="P45" s="47" t="s">
        <v>287</v>
      </c>
      <c r="Q45" s="5"/>
      <c r="R45" s="5"/>
      <c r="S45" s="5"/>
      <c r="T45" s="5"/>
      <c r="U45" s="5"/>
    </row>
    <row r="46" spans="4:21">
      <c r="D46" s="149" t="s">
        <v>83</v>
      </c>
      <c r="E46" s="178" t="s">
        <v>285</v>
      </c>
      <c r="F46" s="167" t="s">
        <v>282</v>
      </c>
      <c r="G46" s="167" t="s">
        <v>367</v>
      </c>
      <c r="H46" s="177" t="s">
        <v>288</v>
      </c>
      <c r="I46" s="176" t="s">
        <v>259</v>
      </c>
      <c r="J46" s="177" t="s">
        <v>179</v>
      </c>
      <c r="K46" s="171" t="s">
        <v>368</v>
      </c>
      <c r="L46" s="172" t="s">
        <v>156</v>
      </c>
      <c r="N46" s="42" t="s">
        <v>188</v>
      </c>
      <c r="P46" s="5"/>
      <c r="Q46" s="48" t="s">
        <v>222</v>
      </c>
      <c r="R46" s="5"/>
      <c r="S46" s="5"/>
      <c r="T46" s="5"/>
      <c r="U46" s="5"/>
    </row>
    <row r="47" spans="4:21">
      <c r="D47" s="149" t="s">
        <v>83</v>
      </c>
      <c r="E47" s="178" t="s">
        <v>285</v>
      </c>
      <c r="F47" s="167" t="s">
        <v>282</v>
      </c>
      <c r="G47" s="167" t="s">
        <v>369</v>
      </c>
      <c r="H47" s="170" t="s">
        <v>288</v>
      </c>
      <c r="I47" s="166" t="s">
        <v>260</v>
      </c>
      <c r="J47" s="177" t="s">
        <v>179</v>
      </c>
      <c r="K47" s="171" t="s">
        <v>370</v>
      </c>
      <c r="L47" s="172" t="s">
        <v>156</v>
      </c>
      <c r="N47" s="42" t="s">
        <v>202</v>
      </c>
    </row>
    <row r="48" spans="4:21">
      <c r="D48" s="149" t="s">
        <v>83</v>
      </c>
      <c r="E48" s="178" t="s">
        <v>285</v>
      </c>
      <c r="F48" s="167" t="s">
        <v>282</v>
      </c>
      <c r="G48" s="167" t="s">
        <v>371</v>
      </c>
      <c r="H48" s="177" t="s">
        <v>288</v>
      </c>
      <c r="I48" s="176" t="s">
        <v>261</v>
      </c>
      <c r="J48" s="177" t="s">
        <v>179</v>
      </c>
      <c r="K48" s="171" t="s">
        <v>372</v>
      </c>
      <c r="L48" s="172" t="s">
        <v>156</v>
      </c>
      <c r="N48" s="42" t="s">
        <v>203</v>
      </c>
    </row>
    <row r="49" spans="4:14">
      <c r="D49" s="149" t="s">
        <v>83</v>
      </c>
      <c r="E49" s="176" t="s">
        <v>285</v>
      </c>
      <c r="F49" s="167" t="s">
        <v>282</v>
      </c>
      <c r="G49" s="167" t="s">
        <v>373</v>
      </c>
      <c r="H49" s="175" t="s">
        <v>288</v>
      </c>
      <c r="I49" s="176" t="s">
        <v>262</v>
      </c>
      <c r="J49" s="177" t="s">
        <v>179</v>
      </c>
      <c r="K49" s="171" t="s">
        <v>374</v>
      </c>
      <c r="L49" s="172" t="s">
        <v>156</v>
      </c>
      <c r="N49" s="42" t="s">
        <v>204</v>
      </c>
    </row>
    <row r="50" spans="4:14">
      <c r="D50" s="149" t="s">
        <v>83</v>
      </c>
      <c r="E50" s="178" t="s">
        <v>285</v>
      </c>
      <c r="F50" s="167" t="s">
        <v>282</v>
      </c>
      <c r="G50" s="167" t="s">
        <v>375</v>
      </c>
      <c r="H50" s="177" t="s">
        <v>288</v>
      </c>
      <c r="I50" s="176" t="s">
        <v>263</v>
      </c>
      <c r="J50" s="177" t="s">
        <v>179</v>
      </c>
      <c r="K50" s="171" t="s">
        <v>376</v>
      </c>
      <c r="L50" s="172" t="s">
        <v>156</v>
      </c>
      <c r="N50" s="43" t="s">
        <v>205</v>
      </c>
    </row>
    <row r="51" spans="4:14">
      <c r="D51" s="149" t="s">
        <v>83</v>
      </c>
      <c r="E51" s="176" t="s">
        <v>285</v>
      </c>
      <c r="F51" s="167" t="s">
        <v>282</v>
      </c>
      <c r="G51" s="167" t="s">
        <v>377</v>
      </c>
      <c r="H51" s="175" t="s">
        <v>288</v>
      </c>
      <c r="I51" s="176" t="s">
        <v>264</v>
      </c>
      <c r="J51" s="177" t="s">
        <v>179</v>
      </c>
      <c r="K51" s="171" t="s">
        <v>378</v>
      </c>
      <c r="L51" s="172" t="s">
        <v>156</v>
      </c>
      <c r="N51" s="42" t="s">
        <v>206</v>
      </c>
    </row>
    <row r="52" spans="4:14">
      <c r="D52" s="149" t="s">
        <v>83</v>
      </c>
      <c r="E52" s="178" t="s">
        <v>285</v>
      </c>
      <c r="F52" s="167" t="s">
        <v>282</v>
      </c>
      <c r="G52" s="167" t="s">
        <v>379</v>
      </c>
      <c r="H52" s="177" t="s">
        <v>288</v>
      </c>
      <c r="I52" s="176" t="s">
        <v>265</v>
      </c>
      <c r="J52" s="177" t="s">
        <v>179</v>
      </c>
      <c r="K52" s="171" t="s">
        <v>380</v>
      </c>
      <c r="L52" s="172" t="s">
        <v>156</v>
      </c>
      <c r="N52" s="42" t="s">
        <v>207</v>
      </c>
    </row>
    <row r="53" spans="4:14">
      <c r="D53" s="149" t="s">
        <v>83</v>
      </c>
      <c r="E53" s="176" t="s">
        <v>285</v>
      </c>
      <c r="F53" s="167" t="s">
        <v>282</v>
      </c>
      <c r="G53" s="167" t="s">
        <v>381</v>
      </c>
      <c r="H53" s="175" t="s">
        <v>288</v>
      </c>
      <c r="I53" s="176" t="s">
        <v>266</v>
      </c>
      <c r="J53" s="177" t="s">
        <v>179</v>
      </c>
      <c r="K53" s="171" t="s">
        <v>382</v>
      </c>
      <c r="L53" s="172" t="s">
        <v>156</v>
      </c>
      <c r="N53" s="43" t="s">
        <v>208</v>
      </c>
    </row>
    <row r="54" spans="4:14">
      <c r="D54" s="149" t="s">
        <v>83</v>
      </c>
      <c r="E54" s="178" t="s">
        <v>285</v>
      </c>
      <c r="F54" s="167" t="s">
        <v>282</v>
      </c>
      <c r="G54" s="167" t="s">
        <v>383</v>
      </c>
      <c r="H54" s="177" t="s">
        <v>288</v>
      </c>
      <c r="I54" s="176" t="s">
        <v>267</v>
      </c>
      <c r="J54" s="177" t="s">
        <v>179</v>
      </c>
      <c r="K54" s="171" t="s">
        <v>384</v>
      </c>
      <c r="L54" s="172" t="s">
        <v>156</v>
      </c>
      <c r="N54" s="43" t="s">
        <v>209</v>
      </c>
    </row>
    <row r="55" spans="4:14">
      <c r="D55" s="149" t="s">
        <v>83</v>
      </c>
      <c r="E55" s="176" t="s">
        <v>285</v>
      </c>
      <c r="F55" s="167" t="s">
        <v>282</v>
      </c>
      <c r="G55" s="167" t="s">
        <v>385</v>
      </c>
      <c r="H55" s="175" t="s">
        <v>288</v>
      </c>
      <c r="I55" s="176" t="s">
        <v>286</v>
      </c>
      <c r="J55" s="177" t="s">
        <v>179</v>
      </c>
      <c r="K55" s="171" t="s">
        <v>386</v>
      </c>
      <c r="L55" s="172" t="s">
        <v>156</v>
      </c>
      <c r="N55" s="43" t="s">
        <v>210</v>
      </c>
    </row>
    <row r="56" spans="4:14">
      <c r="D56" s="149" t="s">
        <v>179</v>
      </c>
      <c r="E56" s="176" t="s">
        <v>220</v>
      </c>
      <c r="F56" s="167" t="s">
        <v>180</v>
      </c>
      <c r="G56" s="167" t="s">
        <v>387</v>
      </c>
      <c r="H56" s="175" t="s">
        <v>258</v>
      </c>
      <c r="I56" s="176" t="s">
        <v>9</v>
      </c>
      <c r="J56" s="177" t="s">
        <v>179</v>
      </c>
      <c r="K56" s="171" t="s">
        <v>388</v>
      </c>
      <c r="L56" s="172" t="s">
        <v>156</v>
      </c>
      <c r="N56" s="42" t="s">
        <v>211</v>
      </c>
    </row>
    <row r="57" spans="4:14">
      <c r="D57" s="149" t="s">
        <v>179</v>
      </c>
      <c r="E57" s="176" t="s">
        <v>220</v>
      </c>
      <c r="F57" s="167" t="s">
        <v>180</v>
      </c>
      <c r="G57" s="167" t="s">
        <v>389</v>
      </c>
      <c r="H57" s="175" t="s">
        <v>258</v>
      </c>
      <c r="I57" s="176" t="s">
        <v>23</v>
      </c>
      <c r="J57" s="177" t="s">
        <v>179</v>
      </c>
      <c r="K57" s="171" t="s">
        <v>390</v>
      </c>
      <c r="L57" s="172" t="s">
        <v>156</v>
      </c>
      <c r="N57" s="43" t="s">
        <v>159</v>
      </c>
    </row>
    <row r="58" spans="4:14">
      <c r="D58" s="149" t="s">
        <v>179</v>
      </c>
      <c r="E58" s="176" t="s">
        <v>220</v>
      </c>
      <c r="F58" s="167" t="s">
        <v>180</v>
      </c>
      <c r="G58" s="167" t="s">
        <v>391</v>
      </c>
      <c r="H58" s="175" t="s">
        <v>258</v>
      </c>
      <c r="I58" s="176" t="s">
        <v>21</v>
      </c>
      <c r="J58" s="177" t="s">
        <v>179</v>
      </c>
      <c r="K58" s="171" t="s">
        <v>392</v>
      </c>
      <c r="L58" s="172" t="s">
        <v>156</v>
      </c>
      <c r="N58" s="43" t="s">
        <v>295</v>
      </c>
    </row>
    <row r="59" spans="4:14">
      <c r="D59" s="149" t="s">
        <v>179</v>
      </c>
      <c r="E59" s="178" t="s">
        <v>220</v>
      </c>
      <c r="F59" s="167" t="s">
        <v>180</v>
      </c>
      <c r="G59" s="167" t="s">
        <v>273</v>
      </c>
      <c r="H59" s="177" t="s">
        <v>258</v>
      </c>
      <c r="I59" s="176" t="s">
        <v>20</v>
      </c>
      <c r="J59" s="177" t="s">
        <v>179</v>
      </c>
      <c r="K59" s="171" t="s">
        <v>393</v>
      </c>
      <c r="L59" s="172" t="s">
        <v>156</v>
      </c>
      <c r="N59" s="43" t="s">
        <v>212</v>
      </c>
    </row>
    <row r="60" spans="4:14">
      <c r="D60" s="149" t="s">
        <v>179</v>
      </c>
      <c r="E60" s="178" t="s">
        <v>220</v>
      </c>
      <c r="F60" s="167" t="s">
        <v>180</v>
      </c>
      <c r="G60" s="167" t="s">
        <v>394</v>
      </c>
      <c r="H60" s="177" t="s">
        <v>258</v>
      </c>
      <c r="I60" s="176" t="s">
        <v>259</v>
      </c>
      <c r="J60" s="177" t="s">
        <v>179</v>
      </c>
      <c r="K60" s="171" t="s">
        <v>395</v>
      </c>
      <c r="L60" s="172" t="s">
        <v>156</v>
      </c>
      <c r="N60" s="42" t="s">
        <v>287</v>
      </c>
    </row>
    <row r="61" spans="4:14">
      <c r="D61" s="149" t="s">
        <v>179</v>
      </c>
      <c r="E61" s="176" t="s">
        <v>220</v>
      </c>
      <c r="F61" s="167" t="s">
        <v>180</v>
      </c>
      <c r="G61" s="167" t="s">
        <v>274</v>
      </c>
      <c r="H61" s="175" t="s">
        <v>258</v>
      </c>
      <c r="I61" s="176" t="s">
        <v>260</v>
      </c>
      <c r="J61" s="177" t="s">
        <v>179</v>
      </c>
      <c r="K61" s="171" t="s">
        <v>396</v>
      </c>
      <c r="L61" s="172" t="s">
        <v>156</v>
      </c>
      <c r="N61" s="42" t="s">
        <v>202</v>
      </c>
    </row>
    <row r="62" spans="4:14">
      <c r="D62" s="149" t="s">
        <v>179</v>
      </c>
      <c r="E62" s="176" t="s">
        <v>220</v>
      </c>
      <c r="F62" s="167" t="s">
        <v>180</v>
      </c>
      <c r="G62" s="167" t="s">
        <v>397</v>
      </c>
      <c r="H62" s="175" t="s">
        <v>258</v>
      </c>
      <c r="I62" s="176" t="s">
        <v>261</v>
      </c>
      <c r="J62" s="177" t="s">
        <v>179</v>
      </c>
      <c r="K62" s="171" t="s">
        <v>398</v>
      </c>
      <c r="L62" s="172" t="s">
        <v>156</v>
      </c>
      <c r="N62" s="42" t="s">
        <v>203</v>
      </c>
    </row>
    <row r="63" spans="4:14">
      <c r="D63" s="149" t="s">
        <v>179</v>
      </c>
      <c r="E63" s="176" t="s">
        <v>220</v>
      </c>
      <c r="F63" s="167" t="s">
        <v>180</v>
      </c>
      <c r="G63" s="167" t="s">
        <v>399</v>
      </c>
      <c r="H63" s="175" t="s">
        <v>258</v>
      </c>
      <c r="I63" s="176" t="s">
        <v>262</v>
      </c>
      <c r="J63" s="177" t="s">
        <v>179</v>
      </c>
      <c r="K63" s="171" t="s">
        <v>400</v>
      </c>
      <c r="L63" s="172" t="s">
        <v>156</v>
      </c>
      <c r="N63" s="43" t="s">
        <v>204</v>
      </c>
    </row>
    <row r="64" spans="4:14">
      <c r="D64" s="149" t="s">
        <v>179</v>
      </c>
      <c r="E64" s="176" t="s">
        <v>220</v>
      </c>
      <c r="F64" s="167" t="s">
        <v>180</v>
      </c>
      <c r="G64" s="167" t="s">
        <v>401</v>
      </c>
      <c r="H64" s="175" t="s">
        <v>258</v>
      </c>
      <c r="I64" s="176" t="s">
        <v>263</v>
      </c>
      <c r="J64" s="177" t="s">
        <v>179</v>
      </c>
      <c r="K64" s="171" t="s">
        <v>402</v>
      </c>
      <c r="L64" s="172" t="s">
        <v>156</v>
      </c>
      <c r="N64" s="42" t="s">
        <v>205</v>
      </c>
    </row>
    <row r="65" spans="4:14">
      <c r="D65" s="149" t="s">
        <v>179</v>
      </c>
      <c r="E65" s="176" t="s">
        <v>220</v>
      </c>
      <c r="F65" s="167" t="s">
        <v>180</v>
      </c>
      <c r="G65" s="167" t="s">
        <v>403</v>
      </c>
      <c r="H65" s="175" t="s">
        <v>258</v>
      </c>
      <c r="I65" s="176" t="s">
        <v>264</v>
      </c>
      <c r="J65" s="177" t="s">
        <v>179</v>
      </c>
      <c r="K65" s="171" t="s">
        <v>404</v>
      </c>
      <c r="L65" s="172" t="s">
        <v>156</v>
      </c>
      <c r="N65" s="42" t="s">
        <v>206</v>
      </c>
    </row>
    <row r="66" spans="4:14">
      <c r="D66" s="149" t="s">
        <v>179</v>
      </c>
      <c r="E66" s="176" t="s">
        <v>220</v>
      </c>
      <c r="F66" s="167" t="s">
        <v>180</v>
      </c>
      <c r="G66" s="167" t="s">
        <v>405</v>
      </c>
      <c r="H66" s="175" t="s">
        <v>258</v>
      </c>
      <c r="I66" s="176" t="s">
        <v>265</v>
      </c>
      <c r="J66" s="177" t="s">
        <v>179</v>
      </c>
      <c r="K66" s="171" t="s">
        <v>406</v>
      </c>
      <c r="L66" s="172" t="s">
        <v>156</v>
      </c>
      <c r="N66" s="43" t="s">
        <v>207</v>
      </c>
    </row>
    <row r="67" spans="4:14">
      <c r="D67" s="149" t="s">
        <v>179</v>
      </c>
      <c r="E67" s="176" t="s">
        <v>220</v>
      </c>
      <c r="F67" s="167" t="s">
        <v>180</v>
      </c>
      <c r="G67" s="167" t="s">
        <v>407</v>
      </c>
      <c r="H67" s="175" t="s">
        <v>258</v>
      </c>
      <c r="I67" s="176" t="s">
        <v>266</v>
      </c>
      <c r="J67" s="177" t="s">
        <v>179</v>
      </c>
      <c r="K67" s="171" t="s">
        <v>408</v>
      </c>
      <c r="L67" s="172" t="s">
        <v>156</v>
      </c>
      <c r="N67" s="43" t="s">
        <v>208</v>
      </c>
    </row>
    <row r="68" spans="4:14">
      <c r="D68" s="149" t="s">
        <v>179</v>
      </c>
      <c r="E68" s="178" t="s">
        <v>220</v>
      </c>
      <c r="F68" s="167" t="s">
        <v>180</v>
      </c>
      <c r="G68" s="167" t="s">
        <v>269</v>
      </c>
      <c r="H68" s="177" t="s">
        <v>258</v>
      </c>
      <c r="I68" s="176" t="s">
        <v>267</v>
      </c>
      <c r="J68" s="177" t="s">
        <v>179</v>
      </c>
      <c r="K68" s="171" t="s">
        <v>409</v>
      </c>
      <c r="L68" s="172" t="s">
        <v>156</v>
      </c>
      <c r="N68" s="43" t="s">
        <v>209</v>
      </c>
    </row>
    <row r="69" spans="4:14">
      <c r="N69" s="42" t="s">
        <v>210</v>
      </c>
    </row>
    <row r="70" spans="4:14">
      <c r="N70" s="43" t="s">
        <v>211</v>
      </c>
    </row>
    <row r="71" spans="4:14">
      <c r="N71" s="43" t="s">
        <v>159</v>
      </c>
    </row>
    <row r="72" spans="4:14">
      <c r="N72" s="43" t="s">
        <v>295</v>
      </c>
    </row>
    <row r="73" spans="4:14">
      <c r="N73" s="43" t="s">
        <v>212</v>
      </c>
    </row>
    <row r="74" spans="4:14">
      <c r="N74" s="43"/>
    </row>
    <row r="75" spans="4:14">
      <c r="N75" s="43"/>
    </row>
  </sheetData>
  <autoFilter ref="D9:L68" xr:uid="{FC50D514-3273-4425-B87B-CFA081408CDF}"/>
  <mergeCells count="5">
    <mergeCell ref="P6:P7"/>
    <mergeCell ref="R6:R7"/>
    <mergeCell ref="D3:E3"/>
    <mergeCell ref="G4:G5"/>
    <mergeCell ref="H4:H5"/>
  </mergeCells>
  <dataValidations count="1">
    <dataValidation type="list" allowBlank="1" showInputMessage="1" showErrorMessage="1" sqref="N10:N75" xr:uid="{18BDF064-F95D-4FCE-A8D4-E7EDA03716EA}">
      <formula1>$Q$6:$Q$43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D68"/>
  <sheetViews>
    <sheetView showGridLines="0" topLeftCell="A37" workbookViewId="0">
      <selection activeCell="B68" sqref="B68"/>
    </sheetView>
  </sheetViews>
  <sheetFormatPr defaultColWidth="9.33203125" defaultRowHeight="13"/>
  <cols>
    <col min="1" max="1" width="2.77734375" style="4" customWidth="1"/>
    <col min="2" max="2" width="18.21875" style="4" customWidth="1"/>
    <col min="3" max="3" width="17" style="4" customWidth="1"/>
    <col min="4" max="16384" width="9.33203125" style="4"/>
  </cols>
  <sheetData>
    <row r="1" spans="2:3" ht="13.5" thickBot="1"/>
    <row r="2" spans="2:3" ht="26.5" customHeight="1">
      <c r="B2" s="246" t="s">
        <v>35</v>
      </c>
      <c r="C2" s="247"/>
    </row>
    <row r="3" spans="2:3" ht="27.5" customHeight="1" thickBot="1">
      <c r="B3" s="64" t="s">
        <v>36</v>
      </c>
      <c r="C3" s="65" t="s">
        <v>15</v>
      </c>
    </row>
    <row r="4" spans="2:3">
      <c r="B4" s="57">
        <v>44480</v>
      </c>
      <c r="C4" s="58">
        <f>WEEKNUM(B4)</f>
        <v>42</v>
      </c>
    </row>
    <row r="5" spans="2:3">
      <c r="B5" s="59">
        <v>44487</v>
      </c>
      <c r="C5" s="60">
        <f t="shared" ref="C5:C44" si="0">WEEKNUM(B5)</f>
        <v>43</v>
      </c>
    </row>
    <row r="6" spans="2:3">
      <c r="B6" s="59">
        <v>44494</v>
      </c>
      <c r="C6" s="60">
        <f t="shared" si="0"/>
        <v>44</v>
      </c>
    </row>
    <row r="7" spans="2:3">
      <c r="B7" s="59">
        <v>44501</v>
      </c>
      <c r="C7" s="60">
        <f t="shared" si="0"/>
        <v>45</v>
      </c>
    </row>
    <row r="8" spans="2:3">
      <c r="B8" s="59">
        <v>44508</v>
      </c>
      <c r="C8" s="60">
        <f t="shared" si="0"/>
        <v>46</v>
      </c>
    </row>
    <row r="9" spans="2:3">
      <c r="B9" s="59">
        <v>44515</v>
      </c>
      <c r="C9" s="60">
        <f t="shared" si="0"/>
        <v>47</v>
      </c>
    </row>
    <row r="10" spans="2:3">
      <c r="B10" s="59">
        <v>44522</v>
      </c>
      <c r="C10" s="60">
        <f t="shared" si="0"/>
        <v>48</v>
      </c>
    </row>
    <row r="11" spans="2:3">
      <c r="B11" s="59">
        <v>44529</v>
      </c>
      <c r="C11" s="60">
        <f t="shared" si="0"/>
        <v>49</v>
      </c>
    </row>
    <row r="12" spans="2:3">
      <c r="B12" s="59">
        <v>44536</v>
      </c>
      <c r="C12" s="60">
        <f t="shared" si="0"/>
        <v>50</v>
      </c>
    </row>
    <row r="13" spans="2:3">
      <c r="B13" s="59">
        <v>44543</v>
      </c>
      <c r="C13" s="60">
        <f t="shared" si="0"/>
        <v>51</v>
      </c>
    </row>
    <row r="14" spans="2:3">
      <c r="B14" s="59">
        <v>44550</v>
      </c>
      <c r="C14" s="60">
        <f t="shared" si="0"/>
        <v>52</v>
      </c>
    </row>
    <row r="15" spans="2:3">
      <c r="B15" s="59">
        <v>44557</v>
      </c>
      <c r="C15" s="60">
        <f t="shared" si="0"/>
        <v>53</v>
      </c>
    </row>
    <row r="16" spans="2:3">
      <c r="B16" s="59">
        <v>44564</v>
      </c>
      <c r="C16" s="60">
        <f t="shared" si="0"/>
        <v>2</v>
      </c>
    </row>
    <row r="17" spans="2:3">
      <c r="B17" s="59">
        <v>44571</v>
      </c>
      <c r="C17" s="60">
        <f t="shared" si="0"/>
        <v>3</v>
      </c>
    </row>
    <row r="18" spans="2:3">
      <c r="B18" s="59">
        <v>44578</v>
      </c>
      <c r="C18" s="60">
        <f t="shared" si="0"/>
        <v>4</v>
      </c>
    </row>
    <row r="19" spans="2:3">
      <c r="B19" s="59">
        <v>44585</v>
      </c>
      <c r="C19" s="60">
        <f t="shared" si="0"/>
        <v>5</v>
      </c>
    </row>
    <row r="20" spans="2:3">
      <c r="B20" s="59">
        <v>44592</v>
      </c>
      <c r="C20" s="60">
        <f t="shared" si="0"/>
        <v>6</v>
      </c>
    </row>
    <row r="21" spans="2:3">
      <c r="B21" s="59">
        <v>44599</v>
      </c>
      <c r="C21" s="60">
        <f t="shared" si="0"/>
        <v>7</v>
      </c>
    </row>
    <row r="22" spans="2:3">
      <c r="B22" s="59">
        <v>44606</v>
      </c>
      <c r="C22" s="60">
        <f t="shared" si="0"/>
        <v>8</v>
      </c>
    </row>
    <row r="23" spans="2:3">
      <c r="B23" s="59">
        <v>44613</v>
      </c>
      <c r="C23" s="60">
        <f t="shared" si="0"/>
        <v>9</v>
      </c>
    </row>
    <row r="24" spans="2:3">
      <c r="B24" s="59">
        <v>44620</v>
      </c>
      <c r="C24" s="60">
        <f t="shared" si="0"/>
        <v>10</v>
      </c>
    </row>
    <row r="25" spans="2:3">
      <c r="B25" s="59">
        <v>44627</v>
      </c>
      <c r="C25" s="60">
        <f t="shared" si="0"/>
        <v>11</v>
      </c>
    </row>
    <row r="26" spans="2:3">
      <c r="B26" s="59">
        <v>44634</v>
      </c>
      <c r="C26" s="60">
        <f t="shared" si="0"/>
        <v>12</v>
      </c>
    </row>
    <row r="27" spans="2:3">
      <c r="B27" s="59">
        <v>44641</v>
      </c>
      <c r="C27" s="60">
        <f t="shared" si="0"/>
        <v>13</v>
      </c>
    </row>
    <row r="28" spans="2:3">
      <c r="B28" s="59">
        <v>44648</v>
      </c>
      <c r="C28" s="60">
        <f t="shared" si="0"/>
        <v>14</v>
      </c>
    </row>
    <row r="29" spans="2:3">
      <c r="B29" s="59">
        <v>44655</v>
      </c>
      <c r="C29" s="60">
        <f t="shared" si="0"/>
        <v>15</v>
      </c>
    </row>
    <row r="30" spans="2:3">
      <c r="B30" s="59">
        <v>44662</v>
      </c>
      <c r="C30" s="60">
        <f t="shared" si="0"/>
        <v>16</v>
      </c>
    </row>
    <row r="31" spans="2:3">
      <c r="B31" s="59">
        <v>44669</v>
      </c>
      <c r="C31" s="60">
        <f t="shared" si="0"/>
        <v>17</v>
      </c>
    </row>
    <row r="32" spans="2:3">
      <c r="B32" s="59">
        <v>44676</v>
      </c>
      <c r="C32" s="60">
        <f t="shared" si="0"/>
        <v>18</v>
      </c>
    </row>
    <row r="33" spans="2:4">
      <c r="B33" s="59">
        <v>44683</v>
      </c>
      <c r="C33" s="60">
        <f t="shared" si="0"/>
        <v>19</v>
      </c>
    </row>
    <row r="34" spans="2:4">
      <c r="B34" s="59">
        <v>44690</v>
      </c>
      <c r="C34" s="60">
        <f t="shared" si="0"/>
        <v>20</v>
      </c>
    </row>
    <row r="35" spans="2:4">
      <c r="B35" s="59">
        <v>44697</v>
      </c>
      <c r="C35" s="60">
        <f t="shared" si="0"/>
        <v>21</v>
      </c>
    </row>
    <row r="36" spans="2:4">
      <c r="B36" s="59">
        <v>44704</v>
      </c>
      <c r="C36" s="60">
        <f t="shared" si="0"/>
        <v>22</v>
      </c>
    </row>
    <row r="37" spans="2:4">
      <c r="B37" s="59">
        <v>44711</v>
      </c>
      <c r="C37" s="60">
        <f t="shared" si="0"/>
        <v>23</v>
      </c>
    </row>
    <row r="38" spans="2:4">
      <c r="B38" s="59">
        <v>44718</v>
      </c>
      <c r="C38" s="60">
        <f t="shared" si="0"/>
        <v>24</v>
      </c>
    </row>
    <row r="39" spans="2:4">
      <c r="B39" s="59">
        <v>44725</v>
      </c>
      <c r="C39" s="60">
        <f t="shared" si="0"/>
        <v>25</v>
      </c>
    </row>
    <row r="40" spans="2:4">
      <c r="B40" s="59">
        <v>44732</v>
      </c>
      <c r="C40" s="60">
        <f t="shared" si="0"/>
        <v>26</v>
      </c>
    </row>
    <row r="41" spans="2:4">
      <c r="B41" s="59">
        <v>44739</v>
      </c>
      <c r="C41" s="60">
        <f t="shared" si="0"/>
        <v>27</v>
      </c>
    </row>
    <row r="42" spans="2:4">
      <c r="B42" s="59">
        <v>44746</v>
      </c>
      <c r="C42" s="60">
        <f t="shared" si="0"/>
        <v>28</v>
      </c>
    </row>
    <row r="43" spans="2:4">
      <c r="B43" s="59">
        <v>44753</v>
      </c>
      <c r="C43" s="60">
        <f t="shared" si="0"/>
        <v>29</v>
      </c>
    </row>
    <row r="44" spans="2:4">
      <c r="B44" s="59">
        <v>44760</v>
      </c>
      <c r="C44" s="60">
        <f t="shared" si="0"/>
        <v>30</v>
      </c>
    </row>
    <row r="45" spans="2:4">
      <c r="B45" s="59">
        <v>44765</v>
      </c>
      <c r="C45" s="60">
        <f>WEEKNUM(B45+1)</f>
        <v>31</v>
      </c>
      <c r="D45" s="201" t="s">
        <v>523</v>
      </c>
    </row>
    <row r="46" spans="2:4">
      <c r="B46" s="59">
        <v>44772</v>
      </c>
      <c r="C46" s="60">
        <f t="shared" ref="C46:C68" si="1">WEEKNUM(B46+1)</f>
        <v>32</v>
      </c>
    </row>
    <row r="47" spans="2:4">
      <c r="B47" s="59">
        <v>44779</v>
      </c>
      <c r="C47" s="60">
        <f t="shared" si="1"/>
        <v>33</v>
      </c>
    </row>
    <row r="48" spans="2:4">
      <c r="B48" s="59">
        <v>44786</v>
      </c>
      <c r="C48" s="60">
        <f t="shared" si="1"/>
        <v>34</v>
      </c>
    </row>
    <row r="49" spans="2:3">
      <c r="B49" s="59">
        <v>44793</v>
      </c>
      <c r="C49" s="60">
        <f t="shared" si="1"/>
        <v>35</v>
      </c>
    </row>
    <row r="50" spans="2:3">
      <c r="B50" s="59">
        <v>44800</v>
      </c>
      <c r="C50" s="60">
        <f t="shared" si="1"/>
        <v>36</v>
      </c>
    </row>
    <row r="51" spans="2:3">
      <c r="B51" s="59">
        <v>44807</v>
      </c>
      <c r="C51" s="60">
        <f t="shared" si="1"/>
        <v>37</v>
      </c>
    </row>
    <row r="52" spans="2:3">
      <c r="B52" s="59">
        <v>44814</v>
      </c>
      <c r="C52" s="60">
        <f t="shared" si="1"/>
        <v>38</v>
      </c>
    </row>
    <row r="53" spans="2:3">
      <c r="B53" s="59">
        <v>44821</v>
      </c>
      <c r="C53" s="60">
        <f t="shared" si="1"/>
        <v>39</v>
      </c>
    </row>
    <row r="54" spans="2:3">
      <c r="B54" s="59">
        <v>44828</v>
      </c>
      <c r="C54" s="60">
        <f t="shared" si="1"/>
        <v>40</v>
      </c>
    </row>
    <row r="55" spans="2:3">
      <c r="B55" s="59">
        <v>44835</v>
      </c>
      <c r="C55" s="60">
        <f t="shared" si="1"/>
        <v>41</v>
      </c>
    </row>
    <row r="56" spans="2:3">
      <c r="B56" s="59">
        <v>44842</v>
      </c>
      <c r="C56" s="60">
        <f t="shared" si="1"/>
        <v>42</v>
      </c>
    </row>
    <row r="57" spans="2:3">
      <c r="B57" s="59">
        <v>44849</v>
      </c>
      <c r="C57" s="60">
        <f t="shared" si="1"/>
        <v>43</v>
      </c>
    </row>
    <row r="58" spans="2:3">
      <c r="B58" s="59">
        <v>44856</v>
      </c>
      <c r="C58" s="60">
        <f t="shared" si="1"/>
        <v>44</v>
      </c>
    </row>
    <row r="59" spans="2:3">
      <c r="B59" s="59">
        <v>44863</v>
      </c>
      <c r="C59" s="60">
        <f t="shared" si="1"/>
        <v>45</v>
      </c>
    </row>
    <row r="60" spans="2:3">
      <c r="B60" s="59">
        <v>44870</v>
      </c>
      <c r="C60" s="60">
        <f t="shared" si="1"/>
        <v>46</v>
      </c>
    </row>
    <row r="61" spans="2:3">
      <c r="B61" s="59">
        <v>44877</v>
      </c>
      <c r="C61" s="60">
        <f t="shared" si="1"/>
        <v>47</v>
      </c>
    </row>
    <row r="62" spans="2:3">
      <c r="B62" s="59">
        <v>44884</v>
      </c>
      <c r="C62" s="60">
        <f t="shared" si="1"/>
        <v>48</v>
      </c>
    </row>
    <row r="63" spans="2:3">
      <c r="B63" s="59">
        <v>44891</v>
      </c>
      <c r="C63" s="60">
        <f t="shared" si="1"/>
        <v>49</v>
      </c>
    </row>
    <row r="64" spans="2:3">
      <c r="B64" s="59">
        <v>44898</v>
      </c>
      <c r="C64" s="60">
        <f t="shared" si="1"/>
        <v>50</v>
      </c>
    </row>
    <row r="65" spans="2:3">
      <c r="B65" s="59">
        <v>44905</v>
      </c>
      <c r="C65" s="60">
        <f t="shared" si="1"/>
        <v>51</v>
      </c>
    </row>
    <row r="66" spans="2:3">
      <c r="B66" s="59">
        <v>44912</v>
      </c>
      <c r="C66" s="60">
        <f t="shared" si="1"/>
        <v>52</v>
      </c>
    </row>
    <row r="67" spans="2:3">
      <c r="B67" s="59">
        <v>44919</v>
      </c>
      <c r="C67" s="60">
        <f t="shared" si="1"/>
        <v>53</v>
      </c>
    </row>
    <row r="68" spans="2:3">
      <c r="B68" s="59">
        <v>44926</v>
      </c>
      <c r="C68" s="60">
        <f t="shared" si="1"/>
        <v>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H18"/>
  <sheetViews>
    <sheetView showGridLines="0" workbookViewId="0">
      <selection activeCell="F19" sqref="F19"/>
    </sheetView>
  </sheetViews>
  <sheetFormatPr defaultColWidth="9.33203125" defaultRowHeight="12.5"/>
  <cols>
    <col min="1" max="1" width="2.77734375" style="1" customWidth="1"/>
    <col min="2" max="4" width="20.88671875" style="1" customWidth="1"/>
    <col min="5" max="5" width="12.6640625" style="1" customWidth="1"/>
    <col min="6" max="6" width="20.88671875" style="2" customWidth="1"/>
    <col min="7" max="7" width="15.88671875" style="2" customWidth="1"/>
    <col min="8" max="8" width="13.33203125" style="1" customWidth="1"/>
    <col min="9" max="16384" width="9.33203125" style="1"/>
  </cols>
  <sheetData>
    <row r="1" spans="2:8" ht="13" thickBot="1"/>
    <row r="2" spans="2:8" ht="13.5" thickBot="1">
      <c r="E2" s="61" t="s">
        <v>29</v>
      </c>
      <c r="F2" s="3">
        <v>44761</v>
      </c>
      <c r="G2" s="11"/>
    </row>
    <row r="3" spans="2:8" ht="13" thickBot="1">
      <c r="H3" s="30" t="s">
        <v>173</v>
      </c>
    </row>
    <row r="4" spans="2:8" ht="20" customHeight="1" thickBot="1">
      <c r="B4" s="248" t="s">
        <v>28</v>
      </c>
      <c r="C4" s="249"/>
      <c r="D4" s="249"/>
      <c r="E4" s="249"/>
      <c r="F4" s="249"/>
      <c r="G4" s="250"/>
    </row>
    <row r="5" spans="2:8" ht="26">
      <c r="B5" s="129" t="s">
        <v>25</v>
      </c>
      <c r="C5" s="130" t="s">
        <v>24</v>
      </c>
      <c r="D5" s="130" t="s">
        <v>30</v>
      </c>
      <c r="E5" s="131" t="s">
        <v>27</v>
      </c>
      <c r="F5" s="130" t="s">
        <v>26</v>
      </c>
      <c r="G5" s="132" t="s">
        <v>53</v>
      </c>
    </row>
    <row r="6" spans="2:8">
      <c r="B6" s="133" t="s">
        <v>176</v>
      </c>
      <c r="C6" s="134" t="s">
        <v>177</v>
      </c>
      <c r="D6" s="134" t="str">
        <f>C6&amp;" "&amp;B6</f>
        <v>Arham Anwar</v>
      </c>
      <c r="E6" s="135" t="s">
        <v>165</v>
      </c>
      <c r="F6" s="136" t="s">
        <v>165</v>
      </c>
      <c r="G6" s="137" t="s">
        <v>172</v>
      </c>
    </row>
    <row r="7" spans="2:8">
      <c r="B7" s="133" t="s">
        <v>278</v>
      </c>
      <c r="C7" s="134" t="s">
        <v>279</v>
      </c>
      <c r="D7" s="134" t="str">
        <f>C7&amp;" "&amp;B7</f>
        <v>Brian Sternberg</v>
      </c>
      <c r="E7" s="134" t="s">
        <v>165</v>
      </c>
      <c r="F7" s="134" t="s">
        <v>165</v>
      </c>
      <c r="G7" s="138" t="s">
        <v>126</v>
      </c>
    </row>
    <row r="8" spans="2:8">
      <c r="B8" s="133" t="s">
        <v>168</v>
      </c>
      <c r="C8" s="134" t="s">
        <v>169</v>
      </c>
      <c r="D8" s="134" t="str">
        <f>C8&amp;" "&amp;B8</f>
        <v>Burke Thompson</v>
      </c>
      <c r="E8" s="135" t="s">
        <v>165</v>
      </c>
      <c r="F8" s="136" t="s">
        <v>165</v>
      </c>
      <c r="G8" s="137" t="s">
        <v>54</v>
      </c>
    </row>
    <row r="9" spans="2:8">
      <c r="B9" s="133" t="s">
        <v>49</v>
      </c>
      <c r="C9" s="134" t="s">
        <v>50</v>
      </c>
      <c r="D9" s="134" t="s">
        <v>164</v>
      </c>
      <c r="E9" s="135" t="s">
        <v>165</v>
      </c>
      <c r="F9" s="136" t="s">
        <v>165</v>
      </c>
      <c r="G9" s="137" t="s">
        <v>56</v>
      </c>
    </row>
    <row r="10" spans="2:8">
      <c r="B10" s="133" t="s">
        <v>280</v>
      </c>
      <c r="C10" s="134" t="s">
        <v>281</v>
      </c>
      <c r="D10" s="134" t="str">
        <f t="shared" ref="D10:D14" si="0">C10&amp;" "&amp;B10</f>
        <v>Ken Catalfamo</v>
      </c>
      <c r="E10" s="134" t="s">
        <v>165</v>
      </c>
      <c r="F10" s="134" t="s">
        <v>165</v>
      </c>
      <c r="G10" s="138" t="s">
        <v>78</v>
      </c>
    </row>
    <row r="11" spans="2:8">
      <c r="B11" s="133" t="s">
        <v>166</v>
      </c>
      <c r="C11" s="134" t="s">
        <v>167</v>
      </c>
      <c r="D11" s="134" t="str">
        <f t="shared" si="0"/>
        <v>Mark McCalla</v>
      </c>
      <c r="E11" s="135" t="s">
        <v>165</v>
      </c>
      <c r="F11" s="136" t="s">
        <v>165</v>
      </c>
      <c r="G11" s="137" t="s">
        <v>58</v>
      </c>
    </row>
    <row r="12" spans="2:8">
      <c r="B12" s="133" t="s">
        <v>170</v>
      </c>
      <c r="C12" s="134" t="s">
        <v>171</v>
      </c>
      <c r="D12" s="134" t="str">
        <f t="shared" si="0"/>
        <v>Matthew Burgess</v>
      </c>
      <c r="E12" s="135" t="s">
        <v>165</v>
      </c>
      <c r="F12" s="136" t="s">
        <v>165</v>
      </c>
      <c r="G12" s="137" t="s">
        <v>139</v>
      </c>
    </row>
    <row r="13" spans="2:8">
      <c r="B13" s="133" t="s">
        <v>22</v>
      </c>
      <c r="C13" s="134" t="s">
        <v>19</v>
      </c>
      <c r="D13" s="134" t="str">
        <f t="shared" si="0"/>
        <v>Nathan Cory</v>
      </c>
      <c r="E13" s="135" t="s">
        <v>165</v>
      </c>
      <c r="F13" s="136" t="s">
        <v>165</v>
      </c>
      <c r="G13" s="137" t="s">
        <v>60</v>
      </c>
    </row>
    <row r="14" spans="2:8">
      <c r="B14" s="133" t="s">
        <v>174</v>
      </c>
      <c r="C14" s="134" t="s">
        <v>175</v>
      </c>
      <c r="D14" s="134" t="str">
        <f t="shared" si="0"/>
        <v>Poorva Bajaj</v>
      </c>
      <c r="E14" s="135" t="s">
        <v>165</v>
      </c>
      <c r="F14" s="136" t="s">
        <v>165</v>
      </c>
      <c r="G14" s="137" t="s">
        <v>172</v>
      </c>
    </row>
    <row r="15" spans="2:8">
      <c r="B15" s="133" t="s">
        <v>276</v>
      </c>
      <c r="C15" s="134" t="s">
        <v>277</v>
      </c>
      <c r="D15" s="134" t="str">
        <f t="shared" ref="D15" si="1">C15&amp;" "&amp;B15</f>
        <v>Samuel Go</v>
      </c>
      <c r="E15" s="134" t="s">
        <v>165</v>
      </c>
      <c r="F15" s="134" t="s">
        <v>165</v>
      </c>
      <c r="G15" s="138" t="s">
        <v>120</v>
      </c>
    </row>
    <row r="16" spans="2:8">
      <c r="B16" s="133" t="s">
        <v>517</v>
      </c>
      <c r="C16" s="134" t="s">
        <v>518</v>
      </c>
      <c r="D16" s="134" t="s">
        <v>519</v>
      </c>
      <c r="E16" s="134" t="s">
        <v>165</v>
      </c>
      <c r="F16" s="134" t="s">
        <v>165</v>
      </c>
      <c r="G16" s="138" t="s">
        <v>172</v>
      </c>
    </row>
    <row r="17" spans="2:8" ht="13" thickBot="1">
      <c r="B17" s="141" t="s">
        <v>520</v>
      </c>
      <c r="C17" s="139" t="s">
        <v>521</v>
      </c>
      <c r="D17" s="139" t="s">
        <v>522</v>
      </c>
      <c r="E17" s="139" t="s">
        <v>165</v>
      </c>
      <c r="F17" s="139" t="s">
        <v>165</v>
      </c>
      <c r="G17" s="140" t="s">
        <v>58</v>
      </c>
    </row>
    <row r="18" spans="2:8" ht="13">
      <c r="H18" s="10" t="str">
        <f>"&lt;--- Insert New Name Here"</f>
        <v>&lt;--- Insert New Name Here</v>
      </c>
    </row>
  </sheetData>
  <mergeCells count="1">
    <mergeCell ref="B4:G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C53"/>
  <sheetViews>
    <sheetView showGridLines="0" workbookViewId="0">
      <selection activeCell="M13" sqref="M13"/>
    </sheetView>
  </sheetViews>
  <sheetFormatPr defaultRowHeight="13"/>
  <cols>
    <col min="1" max="1" width="2.77734375" customWidth="1"/>
    <col min="2" max="2" width="14" customWidth="1"/>
    <col min="3" max="3" width="21" customWidth="1"/>
  </cols>
  <sheetData>
    <row r="1" spans="2:3" ht="13.5" thickBot="1"/>
    <row r="2" spans="2:3" ht="25.5" customHeight="1" thickBot="1">
      <c r="B2" s="62" t="s">
        <v>62</v>
      </c>
      <c r="C2" s="63" t="s">
        <v>52</v>
      </c>
    </row>
    <row r="3" spans="2:3">
      <c r="B3" s="36" t="s">
        <v>64</v>
      </c>
      <c r="C3" s="37" t="s">
        <v>63</v>
      </c>
    </row>
    <row r="4" spans="2:3">
      <c r="B4" s="38" t="s">
        <v>66</v>
      </c>
      <c r="C4" s="39" t="s">
        <v>65</v>
      </c>
    </row>
    <row r="5" spans="2:3">
      <c r="B5" s="38" t="s">
        <v>68</v>
      </c>
      <c r="C5" s="39" t="s">
        <v>67</v>
      </c>
    </row>
    <row r="6" spans="2:3">
      <c r="B6" s="38" t="s">
        <v>70</v>
      </c>
      <c r="C6" s="39" t="s">
        <v>69</v>
      </c>
    </row>
    <row r="7" spans="2:3">
      <c r="B7" s="38" t="s">
        <v>72</v>
      </c>
      <c r="C7" s="39" t="s">
        <v>71</v>
      </c>
    </row>
    <row r="8" spans="2:3">
      <c r="B8" s="38" t="s">
        <v>60</v>
      </c>
      <c r="C8" s="39" t="s">
        <v>73</v>
      </c>
    </row>
    <row r="9" spans="2:3">
      <c r="B9" s="38" t="s">
        <v>55</v>
      </c>
      <c r="C9" s="39" t="s">
        <v>74</v>
      </c>
    </row>
    <row r="10" spans="2:3">
      <c r="B10" s="38" t="s">
        <v>76</v>
      </c>
      <c r="C10" s="39" t="s">
        <v>75</v>
      </c>
    </row>
    <row r="11" spans="2:3">
      <c r="B11" s="38" t="s">
        <v>78</v>
      </c>
      <c r="C11" s="39" t="s">
        <v>77</v>
      </c>
    </row>
    <row r="12" spans="2:3">
      <c r="B12" s="38" t="s">
        <v>54</v>
      </c>
      <c r="C12" s="39" t="s">
        <v>79</v>
      </c>
    </row>
    <row r="13" spans="2:3">
      <c r="B13" s="38" t="s">
        <v>81</v>
      </c>
      <c r="C13" s="39" t="s">
        <v>80</v>
      </c>
    </row>
    <row r="14" spans="2:3">
      <c r="B14" s="38" t="s">
        <v>83</v>
      </c>
      <c r="C14" s="39" t="s">
        <v>82</v>
      </c>
    </row>
    <row r="15" spans="2:3">
      <c r="B15" s="38" t="s">
        <v>56</v>
      </c>
      <c r="C15" s="39" t="s">
        <v>84</v>
      </c>
    </row>
    <row r="16" spans="2:3">
      <c r="B16" s="38" t="s">
        <v>86</v>
      </c>
      <c r="C16" s="39" t="s">
        <v>85</v>
      </c>
    </row>
    <row r="17" spans="2:3">
      <c r="B17" s="38" t="s">
        <v>88</v>
      </c>
      <c r="C17" s="39" t="s">
        <v>87</v>
      </c>
    </row>
    <row r="18" spans="2:3">
      <c r="B18" s="38" t="s">
        <v>90</v>
      </c>
      <c r="C18" s="39" t="s">
        <v>89</v>
      </c>
    </row>
    <row r="19" spans="2:3">
      <c r="B19" s="38" t="s">
        <v>92</v>
      </c>
      <c r="C19" s="39" t="s">
        <v>91</v>
      </c>
    </row>
    <row r="20" spans="2:3">
      <c r="B20" s="38" t="s">
        <v>94</v>
      </c>
      <c r="C20" s="39" t="s">
        <v>93</v>
      </c>
    </row>
    <row r="21" spans="2:3">
      <c r="B21" s="38" t="s">
        <v>96</v>
      </c>
      <c r="C21" s="39" t="s">
        <v>95</v>
      </c>
    </row>
    <row r="22" spans="2:3">
      <c r="B22" s="38" t="s">
        <v>61</v>
      </c>
      <c r="C22" s="39" t="s">
        <v>97</v>
      </c>
    </row>
    <row r="23" spans="2:3">
      <c r="B23" s="38" t="s">
        <v>99</v>
      </c>
      <c r="C23" s="39" t="s">
        <v>98</v>
      </c>
    </row>
    <row r="24" spans="2:3">
      <c r="B24" s="38" t="s">
        <v>101</v>
      </c>
      <c r="C24" s="39" t="s">
        <v>100</v>
      </c>
    </row>
    <row r="25" spans="2:3">
      <c r="B25" s="38" t="s">
        <v>59</v>
      </c>
      <c r="C25" s="39" t="s">
        <v>102</v>
      </c>
    </row>
    <row r="26" spans="2:3">
      <c r="B26" s="38" t="s">
        <v>104</v>
      </c>
      <c r="C26" s="39" t="s">
        <v>103</v>
      </c>
    </row>
    <row r="27" spans="2:3">
      <c r="B27" s="38" t="s">
        <v>106</v>
      </c>
      <c r="C27" s="39" t="s">
        <v>105</v>
      </c>
    </row>
    <row r="28" spans="2:3">
      <c r="B28" s="38" t="s">
        <v>108</v>
      </c>
      <c r="C28" s="39" t="s">
        <v>107</v>
      </c>
    </row>
    <row r="29" spans="2:3">
      <c r="B29" s="38" t="s">
        <v>110</v>
      </c>
      <c r="C29" s="39" t="s">
        <v>109</v>
      </c>
    </row>
    <row r="30" spans="2:3">
      <c r="B30" s="38" t="s">
        <v>112</v>
      </c>
      <c r="C30" s="39" t="s">
        <v>111</v>
      </c>
    </row>
    <row r="31" spans="2:3">
      <c r="B31" s="38" t="s">
        <v>114</v>
      </c>
      <c r="C31" s="39" t="s">
        <v>113</v>
      </c>
    </row>
    <row r="32" spans="2:3">
      <c r="B32" s="38" t="s">
        <v>116</v>
      </c>
      <c r="C32" s="39" t="s">
        <v>115</v>
      </c>
    </row>
    <row r="33" spans="2:3">
      <c r="B33" s="38" t="s">
        <v>118</v>
      </c>
      <c r="C33" s="39" t="s">
        <v>117</v>
      </c>
    </row>
    <row r="34" spans="2:3">
      <c r="B34" s="38" t="s">
        <v>120</v>
      </c>
      <c r="C34" s="39" t="s">
        <v>119</v>
      </c>
    </row>
    <row r="35" spans="2:3">
      <c r="B35" s="38" t="s">
        <v>122</v>
      </c>
      <c r="C35" s="39" t="s">
        <v>121</v>
      </c>
    </row>
    <row r="36" spans="2:3">
      <c r="B36" s="38" t="s">
        <v>124</v>
      </c>
      <c r="C36" s="39" t="s">
        <v>123</v>
      </c>
    </row>
    <row r="37" spans="2:3">
      <c r="B37" s="38" t="s">
        <v>126</v>
      </c>
      <c r="C37" s="39" t="s">
        <v>125</v>
      </c>
    </row>
    <row r="38" spans="2:3">
      <c r="B38" s="38" t="s">
        <v>128</v>
      </c>
      <c r="C38" s="39" t="s">
        <v>127</v>
      </c>
    </row>
    <row r="39" spans="2:3">
      <c r="B39" s="38" t="s">
        <v>130</v>
      </c>
      <c r="C39" s="39" t="s">
        <v>129</v>
      </c>
    </row>
    <row r="40" spans="2:3">
      <c r="B40" s="38" t="s">
        <v>57</v>
      </c>
      <c r="C40" s="39" t="s">
        <v>131</v>
      </c>
    </row>
    <row r="41" spans="2:3">
      <c r="B41" s="38" t="s">
        <v>133</v>
      </c>
      <c r="C41" s="39" t="s">
        <v>132</v>
      </c>
    </row>
    <row r="42" spans="2:3">
      <c r="B42" s="38" t="s">
        <v>135</v>
      </c>
      <c r="C42" s="39" t="s">
        <v>134</v>
      </c>
    </row>
    <row r="43" spans="2:3">
      <c r="B43" s="38" t="s">
        <v>137</v>
      </c>
      <c r="C43" s="39" t="s">
        <v>136</v>
      </c>
    </row>
    <row r="44" spans="2:3">
      <c r="B44" s="38" t="s">
        <v>139</v>
      </c>
      <c r="C44" s="39" t="s">
        <v>138</v>
      </c>
    </row>
    <row r="45" spans="2:3">
      <c r="B45" s="38" t="s">
        <v>58</v>
      </c>
      <c r="C45" s="39" t="s">
        <v>140</v>
      </c>
    </row>
    <row r="46" spans="2:3">
      <c r="B46" s="38" t="s">
        <v>142</v>
      </c>
      <c r="C46" s="39" t="s">
        <v>141</v>
      </c>
    </row>
    <row r="47" spans="2:3">
      <c r="B47" s="38" t="s">
        <v>144</v>
      </c>
      <c r="C47" s="39" t="s">
        <v>143</v>
      </c>
    </row>
    <row r="48" spans="2:3">
      <c r="B48" s="38" t="s">
        <v>146</v>
      </c>
      <c r="C48" s="39" t="s">
        <v>145</v>
      </c>
    </row>
    <row r="49" spans="2:3">
      <c r="B49" s="38" t="s">
        <v>148</v>
      </c>
      <c r="C49" s="39" t="s">
        <v>147</v>
      </c>
    </row>
    <row r="50" spans="2:3">
      <c r="B50" s="38" t="s">
        <v>150</v>
      </c>
      <c r="C50" s="39" t="s">
        <v>149</v>
      </c>
    </row>
    <row r="51" spans="2:3">
      <c r="B51" s="38" t="s">
        <v>152</v>
      </c>
      <c r="C51" s="39" t="s">
        <v>151</v>
      </c>
    </row>
    <row r="52" spans="2:3">
      <c r="B52" s="38" t="s">
        <v>154</v>
      </c>
      <c r="C52" s="39" t="s">
        <v>153</v>
      </c>
    </row>
    <row r="53" spans="2:3" ht="13.5" thickBot="1">
      <c r="B53" s="40" t="s">
        <v>172</v>
      </c>
      <c r="C53" s="41" t="s">
        <v>182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D6C5-0424-46A2-86C4-68D1929E3975}">
  <sheetPr codeName="Sheet9"/>
  <dimension ref="B1:F21"/>
  <sheetViews>
    <sheetView showGridLines="0" zoomScale="130" zoomScaleNormal="130" workbookViewId="0">
      <selection activeCell="M13" sqref="M13"/>
    </sheetView>
  </sheetViews>
  <sheetFormatPr defaultRowHeight="13"/>
  <cols>
    <col min="1" max="1" width="2.77734375" customWidth="1"/>
    <col min="2" max="2" width="12.5546875" customWidth="1"/>
    <col min="3" max="3" width="23" customWidth="1"/>
    <col min="4" max="4" width="13.109375" customWidth="1"/>
    <col min="5" max="5" width="15.109375" customWidth="1"/>
    <col min="6" max="6" width="17.88671875" customWidth="1"/>
  </cols>
  <sheetData>
    <row r="1" spans="2:6" ht="13.5" thickBot="1"/>
    <row r="2" spans="2:6" ht="26.5" thickBot="1">
      <c r="B2" s="102" t="s">
        <v>234</v>
      </c>
      <c r="C2" s="103" t="s">
        <v>11</v>
      </c>
      <c r="D2" s="103" t="s">
        <v>42</v>
      </c>
      <c r="E2" s="103" t="s">
        <v>230</v>
      </c>
      <c r="F2" s="104" t="s">
        <v>232</v>
      </c>
    </row>
    <row r="3" spans="2:6">
      <c r="B3" s="36">
        <v>1</v>
      </c>
      <c r="C3" s="105" t="s">
        <v>229</v>
      </c>
      <c r="D3" s="106">
        <v>44562</v>
      </c>
      <c r="E3" s="107" t="str">
        <f>TEXT(D3,"dddd")</f>
        <v>Saturday</v>
      </c>
      <c r="F3" s="37" t="s">
        <v>236</v>
      </c>
    </row>
    <row r="4" spans="2:6">
      <c r="B4" s="38">
        <f>B3+1</f>
        <v>2</v>
      </c>
      <c r="C4" s="108" t="s">
        <v>233</v>
      </c>
      <c r="D4" s="109">
        <v>44587</v>
      </c>
      <c r="E4" s="110" t="str">
        <f t="shared" ref="E4:E21" si="0">TEXT(D4,"dddd")</f>
        <v>Wednesday</v>
      </c>
      <c r="F4" s="39" t="s">
        <v>172</v>
      </c>
    </row>
    <row r="5" spans="2:6">
      <c r="B5" s="38">
        <f t="shared" ref="B5:B21" si="1">B4+1</f>
        <v>3</v>
      </c>
      <c r="C5" s="108" t="s">
        <v>235</v>
      </c>
      <c r="D5" s="109">
        <v>44613</v>
      </c>
      <c r="E5" s="110" t="str">
        <f>TEXT(D5,"dddd")</f>
        <v>Monday</v>
      </c>
      <c r="F5" s="39" t="s">
        <v>231</v>
      </c>
    </row>
    <row r="6" spans="2:6">
      <c r="B6" s="38">
        <f t="shared" si="1"/>
        <v>4</v>
      </c>
      <c r="C6" s="108" t="s">
        <v>237</v>
      </c>
      <c r="D6" s="109">
        <v>44266</v>
      </c>
      <c r="E6" s="110" t="str">
        <f t="shared" si="0"/>
        <v>Thursday</v>
      </c>
      <c r="F6" s="39" t="s">
        <v>172</v>
      </c>
    </row>
    <row r="7" spans="2:6">
      <c r="B7" s="38">
        <f t="shared" si="1"/>
        <v>5</v>
      </c>
      <c r="C7" s="108" t="s">
        <v>238</v>
      </c>
      <c r="D7" s="109">
        <v>44284</v>
      </c>
      <c r="E7" s="110" t="str">
        <f t="shared" si="0"/>
        <v>Monday</v>
      </c>
      <c r="F7" s="39" t="s">
        <v>172</v>
      </c>
    </row>
    <row r="8" spans="2:6">
      <c r="B8" s="38">
        <f t="shared" si="1"/>
        <v>6</v>
      </c>
      <c r="C8" s="108" t="s">
        <v>239</v>
      </c>
      <c r="D8" s="109">
        <v>44288</v>
      </c>
      <c r="E8" s="110" t="str">
        <f t="shared" si="0"/>
        <v>Friday</v>
      </c>
      <c r="F8" s="39" t="s">
        <v>172</v>
      </c>
    </row>
    <row r="9" spans="2:6">
      <c r="B9" s="38">
        <f t="shared" si="1"/>
        <v>7</v>
      </c>
      <c r="C9" s="108" t="s">
        <v>240</v>
      </c>
      <c r="D9" s="109">
        <v>44330</v>
      </c>
      <c r="E9" s="110" t="str">
        <f>TEXT(D9,"dddd")</f>
        <v>Friday</v>
      </c>
      <c r="F9" s="39" t="s">
        <v>172</v>
      </c>
    </row>
    <row r="10" spans="2:6">
      <c r="B10" s="38">
        <f t="shared" si="1"/>
        <v>8</v>
      </c>
      <c r="C10" s="108" t="s">
        <v>241</v>
      </c>
      <c r="D10" s="109">
        <v>44347</v>
      </c>
      <c r="E10" s="110" t="str">
        <f t="shared" si="0"/>
        <v>Monday</v>
      </c>
      <c r="F10" s="39" t="s">
        <v>231</v>
      </c>
    </row>
    <row r="11" spans="2:6">
      <c r="B11" s="38">
        <f t="shared" si="1"/>
        <v>9</v>
      </c>
      <c r="C11" s="108" t="s">
        <v>242</v>
      </c>
      <c r="D11" s="109">
        <v>44746</v>
      </c>
      <c r="E11" s="110" t="str">
        <f t="shared" si="0"/>
        <v>Monday</v>
      </c>
      <c r="F11" s="39" t="s">
        <v>231</v>
      </c>
    </row>
    <row r="12" spans="2:6">
      <c r="B12" s="38">
        <f t="shared" si="1"/>
        <v>10</v>
      </c>
      <c r="C12" s="108" t="s">
        <v>243</v>
      </c>
      <c r="D12" s="109">
        <v>44438</v>
      </c>
      <c r="E12" s="110" t="str">
        <f t="shared" si="0"/>
        <v>Monday</v>
      </c>
      <c r="F12" s="39" t="s">
        <v>172</v>
      </c>
    </row>
    <row r="13" spans="2:6">
      <c r="B13" s="38">
        <f t="shared" si="1"/>
        <v>11</v>
      </c>
      <c r="C13" s="108" t="s">
        <v>244</v>
      </c>
      <c r="D13" s="109">
        <v>44809</v>
      </c>
      <c r="E13" s="110" t="str">
        <f t="shared" si="0"/>
        <v>Monday</v>
      </c>
      <c r="F13" s="39" t="s">
        <v>231</v>
      </c>
    </row>
    <row r="14" spans="2:6">
      <c r="B14" s="38">
        <f t="shared" si="1"/>
        <v>12</v>
      </c>
      <c r="C14" s="108" t="s">
        <v>245</v>
      </c>
      <c r="D14" s="109">
        <v>44484</v>
      </c>
      <c r="E14" s="110" t="str">
        <f t="shared" si="0"/>
        <v>Friday</v>
      </c>
      <c r="F14" s="39" t="s">
        <v>172</v>
      </c>
    </row>
    <row r="15" spans="2:6">
      <c r="B15" s="38">
        <f t="shared" si="1"/>
        <v>13</v>
      </c>
      <c r="C15" s="108" t="s">
        <v>246</v>
      </c>
      <c r="D15" s="109">
        <v>44504</v>
      </c>
      <c r="E15" s="110" t="str">
        <f t="shared" si="0"/>
        <v>Thursday</v>
      </c>
      <c r="F15" s="39" t="s">
        <v>172</v>
      </c>
    </row>
    <row r="16" spans="2:6">
      <c r="B16" s="38">
        <f t="shared" si="1"/>
        <v>14</v>
      </c>
      <c r="C16" s="108" t="s">
        <v>246</v>
      </c>
      <c r="D16" s="109">
        <v>44505</v>
      </c>
      <c r="E16" s="110" t="str">
        <f t="shared" si="0"/>
        <v>Friday</v>
      </c>
      <c r="F16" s="39" t="s">
        <v>172</v>
      </c>
    </row>
    <row r="17" spans="2:6">
      <c r="B17" s="38">
        <f t="shared" si="1"/>
        <v>15</v>
      </c>
      <c r="C17" s="108" t="s">
        <v>247</v>
      </c>
      <c r="D17" s="109">
        <v>44519</v>
      </c>
      <c r="E17" s="110" t="str">
        <f t="shared" si="0"/>
        <v>Friday</v>
      </c>
      <c r="F17" s="39" t="s">
        <v>172</v>
      </c>
    </row>
    <row r="18" spans="2:6">
      <c r="B18" s="38">
        <f t="shared" si="1"/>
        <v>16</v>
      </c>
      <c r="C18" s="108" t="s">
        <v>248</v>
      </c>
      <c r="D18" s="109">
        <v>44889</v>
      </c>
      <c r="E18" s="110" t="str">
        <f t="shared" si="0"/>
        <v>Thursday</v>
      </c>
      <c r="F18" s="39" t="s">
        <v>231</v>
      </c>
    </row>
    <row r="19" spans="2:6">
      <c r="B19" s="38">
        <f t="shared" si="1"/>
        <v>17</v>
      </c>
      <c r="C19" s="108" t="s">
        <v>249</v>
      </c>
      <c r="D19" s="109">
        <v>44890</v>
      </c>
      <c r="E19" s="110" t="str">
        <f t="shared" si="0"/>
        <v>Friday</v>
      </c>
      <c r="F19" s="39" t="s">
        <v>231</v>
      </c>
    </row>
    <row r="20" spans="2:6">
      <c r="B20" s="38">
        <f t="shared" si="1"/>
        <v>18</v>
      </c>
      <c r="C20" s="108" t="s">
        <v>250</v>
      </c>
      <c r="D20" s="109">
        <v>44918</v>
      </c>
      <c r="E20" s="110" t="str">
        <f t="shared" si="0"/>
        <v>Friday</v>
      </c>
      <c r="F20" s="39" t="s">
        <v>231</v>
      </c>
    </row>
    <row r="21" spans="2:6" ht="13.5" thickBot="1">
      <c r="B21" s="40">
        <f t="shared" si="1"/>
        <v>19</v>
      </c>
      <c r="C21" s="111" t="s">
        <v>251</v>
      </c>
      <c r="D21" s="112">
        <v>44921</v>
      </c>
      <c r="E21" s="113" t="str">
        <f t="shared" si="0"/>
        <v>Monday</v>
      </c>
      <c r="F21" s="41" t="s">
        <v>231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3CAC393791CC448B68C17091F5518A" ma:contentTypeVersion="4" ma:contentTypeDescription="Create a new document." ma:contentTypeScope="" ma:versionID="0f6fcecd8798225ec0c3aaf46d3354b1">
  <xsd:schema xmlns:xsd="http://www.w3.org/2001/XMLSchema" xmlns:xs="http://www.w3.org/2001/XMLSchema" xmlns:p="http://schemas.microsoft.com/office/2006/metadata/properties" xmlns:ns2="d9ab221b-aafc-4d94-a551-188efae7c388" xmlns:ns3="c070d62c-cd88-4bdb-90a8-b87745feac4f" targetNamespace="http://schemas.microsoft.com/office/2006/metadata/properties" ma:root="true" ma:fieldsID="e4a5ebff142c439804986bf920af3e4c" ns2:_="" ns3:_="">
    <xsd:import namespace="d9ab221b-aafc-4d94-a551-188efae7c388"/>
    <xsd:import namespace="c070d62c-cd88-4bdb-90a8-b87745feac4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ab221b-aafc-4d94-a551-188efae7c38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0d62c-cd88-4bdb-90a8-b87745feac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158F994-7FB7-4782-8CB4-D8E9C762294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E67C71-360F-4F4C-9626-9D14C027A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ab221b-aafc-4d94-a551-188efae7c388"/>
    <ds:schemaRef ds:uri="c070d62c-cd88-4bdb-90a8-b87745feac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1363283-509D-42C7-ABB9-0D8859C421DF}">
  <ds:schemaRefs>
    <ds:schemaRef ds:uri="http://schemas.openxmlformats.org/package/2006/metadata/core-properties"/>
    <ds:schemaRef ds:uri="http://schemas.microsoft.com/office/infopath/2007/PartnerControls"/>
    <ds:schemaRef ds:uri="857e2135-e183-4303-a774-10f06ae66c47"/>
    <ds:schemaRef ds:uri="http://schemas.microsoft.com/office/2006/metadata/properties"/>
    <ds:schemaRef ds:uri="8d2d4393-402d-4dbc-861e-cf256785c454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d31c8e78-d6c9-4c3e-8cae-594093ab8b71"/>
    <ds:schemaRef ds:uri="http://schemas.microsoft.com/sharepoint/v3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Time Entry (2)</vt:lpstr>
      <vt:lpstr>Time Entry</vt:lpstr>
      <vt:lpstr>Data Upload</vt:lpstr>
      <vt:lpstr>Bill Code Master - LCOE</vt:lpstr>
      <vt:lpstr>Bill Code Master - Impendi</vt:lpstr>
      <vt:lpstr>Week Number Master</vt:lpstr>
      <vt:lpstr>Employee Master</vt:lpstr>
      <vt:lpstr>States Master</vt:lpstr>
      <vt:lpstr>Holiday Schedule - USA and IND</vt:lpstr>
      <vt:lpstr>'Time Entry (2)'!Last_Line</vt:lpstr>
      <vt:lpstr>Last_Line</vt:lpstr>
      <vt:lpstr>LCOE_Project_Category_Col</vt:lpstr>
      <vt:lpstr>LCOE_Project_Category_Start</vt:lpstr>
      <vt:lpstr>'Bill Code Master - Impendi'!Project_Category</vt:lpstr>
      <vt:lpstr>'Bill Code Master - LCOE'!Project_Category</vt:lpstr>
      <vt:lpstr>'Bill Code Master - Impendi'!Project_Category_Col</vt:lpstr>
      <vt:lpstr>'Bill Code Master - LCOE'!Project_Category_Col</vt:lpstr>
      <vt:lpstr>'Bill Code Master - Impendi'!Project_Category_Start</vt:lpstr>
      <vt:lpstr>'Bill Code Master - LCOE'!Project_Category_Start</vt:lpstr>
      <vt:lpstr>Project_Category_Start_LCOE</vt:lpstr>
      <vt:lpstr>'Bill Code Master - Impendi'!Projects</vt:lpstr>
      <vt:lpstr>'Bill Code Master - LCOE'!Projects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Scott.Fata@transplace.com</dc:creator>
  <cp:lastModifiedBy>Jackson (Steed) Clark</cp:lastModifiedBy>
  <cp:lastPrinted>2015-08-14T01:06:08Z</cp:lastPrinted>
  <dcterms:created xsi:type="dcterms:W3CDTF">2015-08-06T17:18:47Z</dcterms:created>
  <dcterms:modified xsi:type="dcterms:W3CDTF">2022-08-29T16:15:28Z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0x010100903CAC393791CC448B68C17091F5518A</vt:lpwstr>
  </property>
</Properties>
</file>